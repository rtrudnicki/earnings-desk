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ources" sheetId="7" state="visible" r:id="rId7"/>
  </sheets>
  <definedNames>
    <definedName name="scenario">'Drivers'!$D$6</definedName>
    <definedName name="share_price">'Drivers'!$D$7</definedName>
    <definedName name="valuation_date">'Drivers'!$D$8</definedName>
    <definedName name="bs_date">'Drivers'!$D$9</definedName>
    <definedName name="fy1_end">'Drivers'!$D$10</definedName>
    <definedName name="exit_date">'Drivers'!$D$11</definedName>
    <definedName name="exit_date2">'Drivers'!$D$12</definedName>
    <definedName name="shares_diluted">'Drivers'!$D$13</definedName>
    <definedName name="cash_bs">'Drivers'!$D$14</definedName>
    <definedName name="total_debt">'Drivers'!$D$15</definedName>
    <definedName name="net_debt">'Drivers'!$D$16</definedName>
    <definedName name="fee_2026">'Drivers'!$D$17</definedName>
    <definedName name="market_cap">'Drivers'!$D$18</definedName>
    <definedName name="enterprise_value">'Drivers'!$D$19</definedName>
    <definedName name="risk_free_rate">'Drivers'!$D$22</definedName>
    <definedName name="beta">'Drivers'!$D$23</definedName>
    <definedName name="equity_risk_premium">'Drivers'!$D$24</definedName>
    <definedName name="cost_of_equity">'Drivers'!$D$25</definedName>
    <definedName name="kd_pretax">'Drivers'!$D$26</definedName>
    <definedName name="kd_tax">'Drivers'!$D$27</definedName>
    <definedName name="debt_weight">'Drivers'!$D$28</definedName>
    <definedName name="wacc_rate">'Drivers'!$D$29</definedName>
    <definedName name="min_cash_months">'Drivers'!$D$32</definedName>
    <definedName name="creep">'Drivers'!$D$33</definedName>
    <definedName name="rep_px_2026">'Drivers'!$D$34</definedName>
    <definedName name="rep_px_growth">'Drivers'!$D$35</definedName>
    <definedName name="hurdle_irr">'Drivers'!$D$36</definedName>
    <definedName name="wacc_step">'Drivers'!$D$37</definedName>
    <definedName name="g_step">'Drivers'!$D$38</definedName>
    <definedName name="pe_step">'Drivers'!$D$39</definedName>
    <definedName name="prob_bear">'Drivers'!$F$43</definedName>
    <definedName name="prob_base">'Drivers'!$G$43</definedName>
    <definedName name="prob_bull">'Drivers'!$H$43</definedName>
    <definedName name="tg_bear">'Drivers'!$F$44</definedName>
    <definedName name="tg_base">'Drivers'!$G$44</definedName>
    <definedName name="tg_bull">'Drivers'!$H$44</definedName>
    <definedName name="exit_pe_bear">'Drivers'!$F$45</definedName>
    <definedName name="exit_pe_base">'Drivers'!$G$45</definedName>
    <definedName name="exit_pe_bull">'Drivers'!$H$45</definedName>
    <definedName name="fy25_rev_ucan">'Drivers'!$D$48</definedName>
    <definedName name="fy25_rev_emea">'Drivers'!$D$49</definedName>
    <definedName name="fy25_rev_latam">'Drivers'!$D$50</definedName>
    <definedName name="fy25_rev_apac">'Drivers'!$D$51</definedName>
    <definedName name="cash_to_amort">'Drivers'!$I$56:$R$56</definedName>
    <definedName name="da_pct">'Drivers'!$I$57:$R$57</definedName>
    <definedName name="sbc_pct">'Drivers'!$I$58:$R$58</definedName>
    <definedName name="capex_pct">'Drivers'!$I$59:$R$59</definedName>
    <definedName name="wc_pct">'Drivers'!$I$60:$R$60</definedName>
    <definedName name="tax_rate">'Drivers'!$I$61:$R$61</definedName>
    <definedName name="int_rate">'Drivers'!$I$62:$R$62</definedName>
    <definedName name="cash_yield">'Drivers'!$I$63:$R$63</definedName>
    <definedName name="oneoff">'Drivers'!$I$64:$R$64</definedName>
    <definedName name="gross_debt">'Drivers'!$I$65:$R$65</definedName>
    <definedName name="g_ucan_bear">'Drivers'!$I$69:$R$69</definedName>
    <definedName name="g_ucan_base">'Drivers'!$I$70:$R$70</definedName>
    <definedName name="g_ucan_bull">'Drivers'!$I$71:$R$71</definedName>
    <definedName name="g_emea_bear">'Drivers'!$I$72:$R$72</definedName>
    <definedName name="g_emea_base">'Drivers'!$I$73:$R$73</definedName>
    <definedName name="g_emea_bull">'Drivers'!$I$74:$R$74</definedName>
    <definedName name="g_latam_bear">'Drivers'!$I$75:$R$75</definedName>
    <definedName name="g_latam_base">'Drivers'!$I$76:$R$76</definedName>
    <definedName name="g_latam_bull">'Drivers'!$I$77:$R$77</definedName>
    <definedName name="g_apac_bear">'Drivers'!$I$78:$R$78</definedName>
    <definedName name="g_apac_base">'Drivers'!$I$79:$R$79</definedName>
    <definedName name="g_apac_bull">'Drivers'!$I$80:$R$80</definedName>
    <definedName name="ads_bear">'Drivers'!$I$81:$R$81</definedName>
    <definedName name="ads_base">'Drivers'!$I$82:$R$82</definedName>
    <definedName name="ads_bull">'Drivers'!$I$83:$R$83</definedName>
    <definedName name="amort_growth_bear">'Drivers'!$I$84:$R$84</definedName>
    <definedName name="amort_growth_base">'Drivers'!$I$85:$R$85</definedName>
    <definedName name="amort_growth_bull">'Drivers'!$I$86:$R$86</definedName>
    <definedName name="other_cor_pct_bear">'Drivers'!$I$87:$R$87</definedName>
    <definedName name="other_cor_pct_base">'Drivers'!$I$88:$R$88</definedName>
    <definedName name="other_cor_pct_bull">'Drivers'!$I$89:$R$89</definedName>
    <definedName name="opex_pct_bear">'Drivers'!$I$90:$R$90</definedName>
    <definedName name="opex_pct_base">'Drivers'!$I$91:$R$91</definedName>
    <definedName name="opex_pct_bull">'Drivers'!$I$92:$R$92</definedName>
    <definedName name="guide_rev">'Drivers'!$D$95</definedName>
    <definedName name="guide_om">'Drivers'!$D$96</definedName>
    <definedName name="guide_fcf">'Drivers'!$D$97</definedName>
    <definedName name="guide_ads">'Drivers'!$D$98</definedName>
    <definedName name="guide_amort">'Drivers'!$D$99</definedName>
    <definedName name="guide_q4_rev">'Drivers'!$D$100</definedName>
    <definedName name="guide_q4_ebit">'Drivers'!$D$101</definedName>
    <definedName name="guide_q4_eps">'Drivers'!$D$102</definedName>
    <definedName name="street_fy26_rev">'Drivers'!$D$103</definedName>
    <definedName name="street_fy26_eps">'Drivers'!$D$104</definedName>
    <definedName name="street_fy27_rev">'Drivers'!$D$105</definedName>
    <definedName name="street_fy27_eps">'Drivers'!$D$106</definedName>
    <definedName name="street_pt_avg">'Drivers'!$D$107</definedName>
    <definedName name="dcf_value_active">'Valuation'!$D$22</definedName>
    <definedName name="target_price_active">'Valuation'!$D$33</definedName>
    <definedName name="irr_active">'Valuation'!$D$35</definedName>
    <definedName name="hurdle_price_active">'Valuation'!$D$36</definedName>
    <definedName name="target_price2_active">'Valuation'!$D$39</definedName>
    <definedName name="irr2_active">'Valuation'!$D$40</definedName>
    <definedName name="dcf_value_bear">'Scenarios'!$D$127</definedName>
    <definedName name="target_price_bear">'Scenarios'!$D$138</definedName>
    <definedName name="irr_bear">'Scenarios'!$D$140</definedName>
    <definedName name="hurdle_price_bear">'Scenarios'!$D$141</definedName>
    <definedName name="target_price2_bear">'Scenarios'!$D$144</definedName>
    <definedName name="irr2_bear">'Scenarios'!$D$145</definedName>
    <definedName name="dcf_value_base">'Scenarios'!$D$239</definedName>
    <definedName name="target_price_base">'Scenarios'!$D$250</definedName>
    <definedName name="irr_base">'Scenarios'!$D$252</definedName>
    <definedName name="hurdle_price_base">'Scenarios'!$D$253</definedName>
    <definedName name="target_price2_base">'Scenarios'!$D$256</definedName>
    <definedName name="irr2_base">'Scenarios'!$D$257</definedName>
    <definedName name="dcf_value_bull">'Scenarios'!$D$351</definedName>
    <definedName name="target_price_bull">'Scenarios'!$D$362</definedName>
    <definedName name="irr_bull">'Scenarios'!$D$364</definedName>
    <definedName name="hurdle_price_bull">'Scenarios'!$D$365</definedName>
    <definedName name="target_price2_bull">'Scenarios'!$D$368</definedName>
    <definedName name="irr2_bull">'Scenarios'!$D$369</definedName>
    <definedName name="fv_weighted">'Summary'!$G$20</definedName>
    <definedName name="tp_weighted">'Summary'!$G$27</definedName>
    <definedName name="tp2_weighted">'Summary'!$G$29</definedName>
    <definedName name="checks_flag">'Summary'!$D$80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_($#,##0.00_);($#,##0.00);_(&quot;–&quot;_);_(@_)"/>
    <numFmt numFmtId="165" formatCode="yyyy-mm-dd"/>
    <numFmt numFmtId="166" formatCode="_(#,##0.00_);(#,##0.00);_(&quot;–&quot;_);_(@_)"/>
    <numFmt numFmtId="167" formatCode="_(#,##0_);(#,##0);_(&quot;–&quot;_);_(@_)"/>
    <numFmt numFmtId="168" formatCode="_(#,##0.00%_);(#,##0.00%);_(&quot;–&quot;_);_(@_)"/>
    <numFmt numFmtId="169" formatCode="_(#,##0.0%_);(#,##0.0%);_(&quot;–&quot;_);_(@_)"/>
    <numFmt numFmtId="170" formatCode="0.0"/>
    <numFmt numFmtId="171" formatCode="_(0.0&quot;x&quot;_);(0.0&quot;x&quot;);_(&quot;–&quot;_);_(@_)"/>
    <numFmt numFmtId="172" formatCode="0&quot;A&quot;"/>
    <numFmt numFmtId="173" formatCode="0&quot;E&quot;"/>
    <numFmt numFmtId="174" formatCode="0.00x"/>
    <numFmt numFmtId="175" formatCode="0.000"/>
    <numFmt numFmtId="176" formatCode="0.0x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sz val="10"/>
    </font>
    <font>
      <name val="Calibri"/>
      <i val="1"/>
      <color rgb="00595959"/>
      <sz val="9"/>
    </font>
    <font>
      <name val="Calibri"/>
      <b val="1"/>
      <color rgb="001F3864"/>
      <sz val="10"/>
    </font>
    <font>
      <name val="Calibri"/>
      <sz val="10"/>
    </font>
    <font>
      <name val="Calibri"/>
      <b val="1"/>
      <color rgb="000000FF"/>
      <sz val="10"/>
    </font>
    <font>
      <name val="Calibri"/>
      <i val="1"/>
      <color rgb="00595959"/>
      <sz val="8"/>
    </font>
    <font>
      <name val="Calibri"/>
      <b val="1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i val="1"/>
      <color rgb="00008000"/>
      <sz val="10"/>
    </font>
    <font>
      <name val="Calibri"/>
      <b val="1"/>
      <sz val="11"/>
    </font>
    <font>
      <name val="Calibri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AF1F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bottom style="thin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left style="hair">
        <color rgb="00808080"/>
      </left>
      <bottom style="thin">
        <color rgb="00000000"/>
      </bottom>
    </border>
    <border>
      <left style="hair">
        <color rgb="00808080"/>
      </left>
      <top/>
      <bottom/>
    </border>
    <border>
      <left style="hair">
        <color rgb="00808080"/>
      </left>
      <top style="thin">
        <color rgb="00000000"/>
      </top>
    </border>
    <border>
      <left style="hair">
        <color rgb="00808080"/>
      </left>
      <bottom style="thin">
        <color rgb="001F3864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center"/>
    </xf>
    <xf numFmtId="164" fontId="13" fillId="2" borderId="2" pivotButton="0" quotePrefix="0" xfId="0"/>
    <xf numFmtId="165" fontId="10" fillId="0" borderId="0" pivotButton="0" quotePrefix="0" xfId="0"/>
    <xf numFmtId="0" fontId="5" fillId="0" borderId="0" pivotButton="0" quotePrefix="0" xfId="0"/>
    <xf numFmtId="166" fontId="10" fillId="0" borderId="0" pivotButton="0" quotePrefix="0" xfId="0"/>
    <xf numFmtId="167" fontId="10" fillId="0" borderId="0" pivotButton="0" quotePrefix="0" xfId="0"/>
    <xf numFmtId="167" fontId="13" fillId="0" borderId="0" pivotButton="0" quotePrefix="0" xfId="0"/>
    <xf numFmtId="171" fontId="10" fillId="0" borderId="0" pivotButton="0" quotePrefix="0" xfId="0"/>
    <xf numFmtId="169" fontId="10" fillId="0" borderId="0" pivotButton="0" quotePrefix="0" xfId="0"/>
    <xf numFmtId="164" fontId="10" fillId="0" borderId="0" pivotButton="0" quotePrefix="0" xfId="0"/>
    <xf numFmtId="171" fontId="9" fillId="0" borderId="0" pivotButton="0" quotePrefix="0" xfId="0"/>
    <xf numFmtId="0" fontId="0" fillId="0" borderId="3" pivotButton="0" quotePrefix="0" xfId="0"/>
    <xf numFmtId="0" fontId="8" fillId="0" borderId="3" applyAlignment="1" pivotButton="0" quotePrefix="0" xfId="0">
      <alignment horizontal="center"/>
    </xf>
    <xf numFmtId="164" fontId="13" fillId="0" borderId="4" pivotButton="0" quotePrefix="0" xfId="0"/>
    <xf numFmtId="164" fontId="12" fillId="3" borderId="4" pivotButton="0" quotePrefix="0" xfId="0"/>
    <xf numFmtId="164" fontId="13" fillId="0" borderId="0" pivotButton="0" quotePrefix="0" xfId="0"/>
    <xf numFmtId="164" fontId="8" fillId="3" borderId="0" pivotButton="0" quotePrefix="0" xfId="0"/>
    <xf numFmtId="176" fontId="5" fillId="0" borderId="0" pivotButton="0" quotePrefix="0" xfId="0"/>
    <xf numFmtId="0" fontId="13" fillId="0" borderId="1" pivotButton="0" quotePrefix="0" xfId="0"/>
    <xf numFmtId="0" fontId="8" fillId="0" borderId="3" pivotButton="0" quotePrefix="0" xfId="0"/>
    <xf numFmtId="172" fontId="8" fillId="0" borderId="3" applyAlignment="1" pivotButton="0" quotePrefix="0" xfId="0">
      <alignment horizontal="center"/>
    </xf>
    <xf numFmtId="173" fontId="8" fillId="0" borderId="3" applyAlignment="1" pivotButton="0" quotePrefix="0" xfId="0">
      <alignment horizontal="center"/>
    </xf>
    <xf numFmtId="167" fontId="13" fillId="0" borderId="6" pivotButton="0" quotePrefix="0" xfId="0"/>
    <xf numFmtId="0" fontId="2" fillId="0" borderId="0" applyAlignment="1" pivotButton="0" quotePrefix="0" xfId="0">
      <alignment indent="1"/>
    </xf>
    <xf numFmtId="169" fontId="10" fillId="0" borderId="6" pivotButton="0" quotePrefix="0" xfId="0"/>
    <xf numFmtId="167" fontId="10" fillId="0" borderId="6" pivotButton="0" quotePrefix="0" xfId="0"/>
    <xf numFmtId="164" fontId="10" fillId="0" borderId="6" pivotButton="0" quotePrefix="0" xfId="0"/>
    <xf numFmtId="164" fontId="13" fillId="0" borderId="6" pivotButton="0" quotePrefix="0" xfId="0"/>
    <xf numFmtId="166" fontId="10" fillId="0" borderId="6" pivotButton="0" quotePrefix="0" xfId="0"/>
    <xf numFmtId="169" fontId="5" fillId="0" borderId="0" pivotButton="0" quotePrefix="0" xfId="0"/>
    <xf numFmtId="1" fontId="5" fillId="0" borderId="0" pivotButton="0" quotePrefix="0" xfId="0"/>
    <xf numFmtId="0" fontId="8" fillId="3" borderId="4" pivotButton="0" quotePrefix="0" xfId="0"/>
    <xf numFmtId="0" fontId="8" fillId="0" borderId="0" applyAlignment="1" pivotButton="0" quotePrefix="0" xfId="0">
      <alignment horizontal="center"/>
    </xf>
    <xf numFmtId="1" fontId="6" fillId="2" borderId="2" pivotButton="0" quotePrefix="0" xfId="0"/>
    <xf numFmtId="0" fontId="7" fillId="0" borderId="0" pivotButton="0" quotePrefix="0" xfId="0"/>
    <xf numFmtId="164" fontId="6" fillId="2" borderId="2" pivotButton="0" quotePrefix="0" xfId="0"/>
    <xf numFmtId="165" fontId="9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167" fontId="8" fillId="0" borderId="0" pivotButton="0" quotePrefix="0" xfId="0"/>
    <xf numFmtId="167" fontId="5" fillId="0" borderId="0" pivotButton="0" quotePrefix="0" xfId="0"/>
    <xf numFmtId="168" fontId="9" fillId="0" borderId="0" pivotButton="0" quotePrefix="0" xfId="0"/>
    <xf numFmtId="2" fontId="9" fillId="0" borderId="0" pivotButton="0" quotePrefix="0" xfId="0"/>
    <xf numFmtId="168" fontId="5" fillId="0" borderId="0" pivotButton="0" quotePrefix="0" xfId="0"/>
    <xf numFmtId="169" fontId="9" fillId="0" borderId="0" pivotButton="0" quotePrefix="0" xfId="0"/>
    <xf numFmtId="168" fontId="8" fillId="0" borderId="0" pivotButton="0" quotePrefix="0" xfId="0"/>
    <xf numFmtId="170" fontId="9" fillId="0" borderId="0" pivotButton="0" quotePrefix="0" xfId="0"/>
    <xf numFmtId="164" fontId="9" fillId="0" borderId="0" pivotButton="0" quotePrefix="0" xfId="0"/>
    <xf numFmtId="171" fontId="5" fillId="0" borderId="0" pivotButton="0" quotePrefix="0" xfId="0"/>
    <xf numFmtId="167" fontId="8" fillId="0" borderId="4" pivotButton="0" quotePrefix="0" xfId="0"/>
    <xf numFmtId="174" fontId="9" fillId="0" borderId="0" pivotButton="0" quotePrefix="0" xfId="0"/>
    <xf numFmtId="0" fontId="2" fillId="0" borderId="0" applyAlignment="1" pivotButton="0" quotePrefix="0" xfId="0">
      <alignment horizontal="center"/>
    </xf>
    <xf numFmtId="167" fontId="5" fillId="0" borderId="6" pivotButton="0" quotePrefix="0" xfId="0"/>
    <xf numFmtId="169" fontId="2" fillId="0" borderId="0" pivotButton="0" quotePrefix="0" xfId="0"/>
    <xf numFmtId="167" fontId="8" fillId="0" borderId="7" pivotButton="0" quotePrefix="0" xfId="0"/>
    <xf numFmtId="167" fontId="13" fillId="0" borderId="4" pivotButton="0" quotePrefix="0" xfId="0"/>
    <xf numFmtId="169" fontId="2" fillId="0" borderId="4" pivotButton="0" quotePrefix="0" xfId="0"/>
    <xf numFmtId="169" fontId="2" fillId="0" borderId="6" pivotButton="0" quotePrefix="0" xfId="0"/>
    <xf numFmtId="0" fontId="0" fillId="0" borderId="6" pivotButton="0" quotePrefix="0" xfId="0"/>
    <xf numFmtId="0" fontId="0" fillId="0" borderId="8" pivotButton="0" quotePrefix="0" xfId="0"/>
    <xf numFmtId="167" fontId="2" fillId="0" borderId="0" pivotButton="0" quotePrefix="0" xfId="0"/>
    <xf numFmtId="167" fontId="6" fillId="0" borderId="4" pivotButton="0" quotePrefix="0" xfId="0"/>
    <xf numFmtId="164" fontId="8" fillId="0" borderId="0" pivotButton="0" quotePrefix="0" xfId="0"/>
    <xf numFmtId="164" fontId="8" fillId="0" borderId="6" pivotButton="0" quotePrefix="0" xfId="0"/>
    <xf numFmtId="167" fontId="6" fillId="0" borderId="0" pivotButton="0" quotePrefix="0" xfId="0"/>
    <xf numFmtId="167" fontId="8" fillId="0" borderId="6" pivotButton="0" quotePrefix="0" xfId="0"/>
    <xf numFmtId="174" fontId="2" fillId="0" borderId="0" pivotButton="0" quotePrefix="0" xfId="0"/>
    <xf numFmtId="174" fontId="11" fillId="0" borderId="0" pivotButton="0" quotePrefix="0" xfId="0"/>
    <xf numFmtId="173" fontId="8" fillId="0" borderId="5" applyAlignment="1" pivotButton="0" quotePrefix="0" xfId="0">
      <alignment horizontal="center"/>
    </xf>
    <xf numFmtId="169" fontId="11" fillId="0" borderId="6" pivotButton="0" quotePrefix="0" xfId="0"/>
    <xf numFmtId="169" fontId="11" fillId="0" borderId="0" pivotButton="0" quotePrefix="0" xfId="0"/>
    <xf numFmtId="167" fontId="11" fillId="0" borderId="6" pivotButton="0" quotePrefix="0" xfId="0"/>
    <xf numFmtId="167" fontId="11" fillId="0" borderId="0" pivotButton="0" quotePrefix="0" xfId="0"/>
    <xf numFmtId="167" fontId="2" fillId="0" borderId="6" pivotButton="0" quotePrefix="0" xfId="0"/>
    <xf numFmtId="167" fontId="5" fillId="0" borderId="4" pivotButton="0" quotePrefix="0" xfId="0"/>
    <xf numFmtId="167" fontId="5" fillId="0" borderId="7" pivotButton="0" quotePrefix="0" xfId="0"/>
    <xf numFmtId="166" fontId="5" fillId="0" borderId="6" pivotButton="0" quotePrefix="0" xfId="0"/>
    <xf numFmtId="166" fontId="5" fillId="0" borderId="0" pivotButton="0" quotePrefix="0" xfId="0"/>
    <xf numFmtId="174" fontId="2" fillId="0" borderId="6" pivotButton="0" quotePrefix="0" xfId="0"/>
    <xf numFmtId="164" fontId="11" fillId="0" borderId="6" pivotButton="0" quotePrefix="0" xfId="0"/>
    <xf numFmtId="164" fontId="11" fillId="0" borderId="0" pivotButton="0" quotePrefix="0" xfId="0"/>
    <xf numFmtId="171" fontId="2" fillId="0" borderId="0" pivotButton="0" quotePrefix="0" xfId="0"/>
    <xf numFmtId="171" fontId="2" fillId="0" borderId="6" pivotButton="0" quotePrefix="0" xfId="0"/>
    <xf numFmtId="175" fontId="11" fillId="0" borderId="6" pivotButton="0" quotePrefix="0" xfId="0"/>
    <xf numFmtId="175" fontId="2" fillId="0" borderId="0" pivotButton="0" quotePrefix="0" xfId="0"/>
    <xf numFmtId="175" fontId="11" fillId="0" borderId="0" pivotButton="0" quotePrefix="0" xfId="0"/>
    <xf numFmtId="168" fontId="10" fillId="0" borderId="0" pivotButton="0" quotePrefix="0" xfId="0"/>
    <xf numFmtId="164" fontId="12" fillId="3" borderId="0" pivotButton="0" quotePrefix="0" xfId="0"/>
    <xf numFmtId="2" fontId="5" fillId="0" borderId="0" pivotButton="0" quotePrefix="0" xfId="0"/>
    <xf numFmtId="174" fontId="5" fillId="0" borderId="0" pivotButton="0" quotePrefix="0" xfId="0"/>
    <xf numFmtId="169" fontId="12" fillId="3" borderId="0" pivotButton="0" quotePrefix="0" xfId="0"/>
    <xf numFmtId="168" fontId="13" fillId="0" borderId="3" pivotButton="0" quotePrefix="0" xfId="0"/>
    <xf numFmtId="168" fontId="13" fillId="0" borderId="0" pivotButton="0" quotePrefix="0" xfId="0"/>
    <xf numFmtId="164" fontId="5" fillId="0" borderId="0" pivotButton="0" quotePrefix="0" xfId="0"/>
    <xf numFmtId="164" fontId="5" fillId="3" borderId="0" pivotButton="0" quotePrefix="0" xfId="0"/>
    <xf numFmtId="171" fontId="13" fillId="0" borderId="3" pivotButton="0" quotePrefix="0" xfId="0"/>
    <xf numFmtId="169" fontId="5" fillId="3" borderId="0" pivotButton="0" quotePrefix="0" xfId="0"/>
    <xf numFmtId="169" fontId="8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167" fontId="10" fillId="0" borderId="4" pivotButton="0" quotePrefix="0" xfId="0"/>
    <xf numFmtId="171" fontId="11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</author>
  </authors>
  <commentList>
    <comment ref="G20" authorId="0" shapeId="0">
      <text>
        <t>Probability-weighted DCF value today at the live WACC. The price path rows show what a 2-3 year hold earns at the exit multiple.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L27" authorId="0" shapeId="0">
      <text>
        <t>4Q26E uses the model's end-2026 diluted count; the annual column is the model's weighted average.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B61" authorId="0" shapeId="0">
      <text>
        <t>History = cash from operations less capex (Netflix's own definition). Forecast = NOPAT + amortization - cash content spend + D&amp;A + stock comp - capex + other items, plus after-tax interest and other income (2026 carries the $2.8B fee).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I28" authorId="0" shapeId="0">
      <text>
        <t>IRR on the probability-weighted exit price, not the average of the three IRRs.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J80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B1" s="1" t="inlineStr">
        <is>
          <t>Netflix, Inc.  (NASDAQ: NFLX)</t>
        </is>
      </c>
    </row>
    <row r="2">
      <c r="B2" s="2" t="inlineStr">
        <is>
          <t>Built 2026-10-23 after the Q3 2026 print, for a 2-3 year hold. Calendar fiscal year; shares post the 10-for-1 split.</t>
        </is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4" t="inlineStr">
        <is>
          <t>MARKET</t>
        </is>
      </c>
      <c r="C5" s="5" t="n"/>
      <c r="D5" s="5" t="n"/>
      <c r="E5" s="5" t="n"/>
      <c r="F5" s="5" t="n"/>
      <c r="G5" s="5" t="n"/>
    </row>
    <row r="6">
      <c r="B6" s="6" t="inlineStr">
        <is>
          <t>Share price</t>
        </is>
      </c>
      <c r="C6" s="7" t="inlineStr">
        <is>
          <t>$</t>
        </is>
      </c>
      <c r="D6" s="8">
        <f>'Drivers'!$D$7</f>
        <v/>
      </c>
      <c r="E6" s="9">
        <f>'Drivers'!$D$8</f>
        <v/>
      </c>
    </row>
    <row r="7">
      <c r="B7" s="10" t="inlineStr">
        <is>
          <t>Diluted shares</t>
        </is>
      </c>
      <c r="C7" s="7" t="inlineStr">
        <is>
          <t>mm</t>
        </is>
      </c>
      <c r="D7" s="11">
        <f>'Drivers'!$D$13</f>
        <v/>
      </c>
    </row>
    <row r="8">
      <c r="B8" s="10" t="inlineStr">
        <is>
          <t>Market capitalization</t>
        </is>
      </c>
      <c r="C8" s="7" t="inlineStr">
        <is>
          <t>$mm</t>
        </is>
      </c>
      <c r="D8" s="12">
        <f>'Drivers'!$D$18</f>
        <v/>
      </c>
    </row>
    <row r="9">
      <c r="B9" s="10" t="inlineStr">
        <is>
          <t>Net debt (9/30/26)</t>
        </is>
      </c>
      <c r="C9" s="7" t="inlineStr">
        <is>
          <t>$mm</t>
        </is>
      </c>
      <c r="D9" s="12">
        <f>'Drivers'!$D$16</f>
        <v/>
      </c>
    </row>
    <row r="10">
      <c r="B10" s="6" t="inlineStr">
        <is>
          <t>Enterprise value</t>
        </is>
      </c>
      <c r="C10" s="7" t="inlineStr">
        <is>
          <t>$mm</t>
        </is>
      </c>
      <c r="D10" s="13">
        <f>'Drivers'!$D$19</f>
        <v/>
      </c>
    </row>
    <row r="11">
      <c r="B11" s="10" t="inlineStr">
        <is>
          <t>P/E, FY26E ex the fee / FY27E (base)</t>
        </is>
      </c>
      <c r="C11" s="7" t="inlineStr">
        <is>
          <t>x</t>
        </is>
      </c>
      <c r="D11" s="14">
        <f>'Drivers'!$D$7/'Scenarios'!G14</f>
        <v/>
      </c>
      <c r="E11" s="14">
        <f>'Drivers'!$D$7/'Scenarios'!G15</f>
        <v/>
      </c>
    </row>
    <row r="12">
      <c r="B12" s="10" t="inlineStr">
        <is>
          <t>EV / EBIT, FY26E (base)</t>
        </is>
      </c>
      <c r="C12" s="7" t="inlineStr">
        <is>
          <t>x</t>
        </is>
      </c>
      <c r="D12" s="14">
        <f>'Scenarios'!D244</f>
        <v/>
      </c>
    </row>
    <row r="13">
      <c r="B13" s="10" t="inlineStr">
        <is>
          <t>Free cash flow yield, FY26E ex the fee (base)</t>
        </is>
      </c>
      <c r="C13" s="7" t="inlineStr">
        <is>
          <t>%</t>
        </is>
      </c>
      <c r="D13" s="15">
        <f>'Scenarios'!I208/'Drivers'!$D$18</f>
        <v/>
      </c>
    </row>
    <row r="14">
      <c r="B14" s="10" t="inlineStr">
        <is>
          <t>Buyback yield, FY26E (base)</t>
        </is>
      </c>
      <c r="C14" s="7" t="inlineStr">
        <is>
          <t>%</t>
        </is>
      </c>
      <c r="D14" s="15">
        <f>-'Scenarios'!I213/'Drivers'!$D$18</f>
        <v/>
      </c>
    </row>
    <row r="15">
      <c r="B15" s="10" t="inlineStr">
        <is>
          <t>Street price target, average / 10-year median P/E (Earnings Desk)</t>
        </is>
      </c>
      <c r="C15" s="7" t="inlineStr">
        <is>
          <t>$</t>
        </is>
      </c>
      <c r="D15" s="16">
        <f>'Drivers'!$D$107</f>
        <v/>
      </c>
      <c r="E15" s="17" t="n">
        <v>55</v>
      </c>
    </row>
    <row r="17">
      <c r="B17" s="4" t="inlineStr">
        <is>
          <t>VALUE BY SCENARIO</t>
        </is>
      </c>
      <c r="C17" s="5" t="n"/>
      <c r="D17" s="5" t="n"/>
      <c r="E17" s="5" t="n"/>
      <c r="F17" s="5" t="n"/>
      <c r="G17" s="5" t="n"/>
    </row>
    <row r="18">
      <c r="B18" s="18" t="n"/>
      <c r="C18" s="18" t="n"/>
      <c r="D18" s="19" t="inlineStr">
        <is>
          <t>Bear</t>
        </is>
      </c>
      <c r="E18" s="19" t="inlineStr">
        <is>
          <t>Base</t>
        </is>
      </c>
      <c r="F18" s="19" t="inlineStr">
        <is>
          <t>Bull</t>
        </is>
      </c>
      <c r="G18" s="19" t="inlineStr">
        <is>
          <t>Weighted</t>
        </is>
      </c>
    </row>
    <row r="19">
      <c r="B19" s="10" t="inlineStr">
        <is>
          <t>Probability</t>
        </is>
      </c>
      <c r="C19" s="7" t="inlineStr">
        <is>
          <t>%</t>
        </is>
      </c>
      <c r="D19" s="15">
        <f>'Scenarios'!F7</f>
        <v/>
      </c>
      <c r="E19" s="15">
        <f>'Scenarios'!G7</f>
        <v/>
      </c>
      <c r="F19" s="15">
        <f>'Scenarios'!H7</f>
        <v/>
      </c>
    </row>
    <row r="20">
      <c r="B20" s="6" t="inlineStr">
        <is>
          <t>DCF value per share</t>
        </is>
      </c>
      <c r="C20" s="7" t="inlineStr">
        <is>
          <t>$</t>
        </is>
      </c>
      <c r="D20" s="20">
        <f>'Scenarios'!F24</f>
        <v/>
      </c>
      <c r="E20" s="20">
        <f>'Scenarios'!G24</f>
        <v/>
      </c>
      <c r="F20" s="20">
        <f>'Scenarios'!H24</f>
        <v/>
      </c>
      <c r="G20" s="21">
        <f>'Scenarios'!I24</f>
        <v/>
      </c>
    </row>
    <row r="21">
      <c r="B21" s="10" t="inlineStr">
        <is>
          <t>vs price</t>
        </is>
      </c>
      <c r="C21" s="7" t="inlineStr">
        <is>
          <t>%</t>
        </is>
      </c>
      <c r="D21" s="15">
        <f>'Scenarios'!F25</f>
        <v/>
      </c>
      <c r="E21" s="15">
        <f>'Scenarios'!G25</f>
        <v/>
      </c>
      <c r="F21" s="15">
        <f>'Scenarios'!H25</f>
        <v/>
      </c>
      <c r="G21" s="15">
        <f>'Scenarios'!I25</f>
        <v/>
      </c>
    </row>
    <row r="22">
      <c r="B22" s="10" t="inlineStr">
        <is>
          <t>FY26E EPS, GAAP (with the fee)</t>
        </is>
      </c>
      <c r="C22" s="7" t="inlineStr">
        <is>
          <t>$</t>
        </is>
      </c>
      <c r="D22" s="16">
        <f>'Scenarios'!F13</f>
        <v/>
      </c>
      <c r="E22" s="16">
        <f>'Scenarios'!G13</f>
        <v/>
      </c>
      <c r="F22" s="16">
        <f>'Scenarios'!H13</f>
        <v/>
      </c>
      <c r="G22" s="16">
        <f>'Scenarios'!I13</f>
        <v/>
      </c>
    </row>
    <row r="23">
      <c r="B23" s="10" t="inlineStr">
        <is>
          <t>FY26E EPS ex the fee</t>
        </is>
      </c>
      <c r="C23" s="7" t="inlineStr">
        <is>
          <t>$</t>
        </is>
      </c>
      <c r="D23" s="16">
        <f>'Scenarios'!F14</f>
        <v/>
      </c>
      <c r="E23" s="16">
        <f>'Scenarios'!G14</f>
        <v/>
      </c>
      <c r="F23" s="16">
        <f>'Scenarios'!H14</f>
        <v/>
      </c>
      <c r="G23" s="16">
        <f>'Scenarios'!I14</f>
        <v/>
      </c>
    </row>
    <row r="24">
      <c r="B24" s="10" t="inlineStr">
        <is>
          <t>FY27E EPS</t>
        </is>
      </c>
      <c r="C24" s="7" t="inlineStr">
        <is>
          <t>$</t>
        </is>
      </c>
      <c r="D24" s="16">
        <f>'Scenarios'!F15</f>
        <v/>
      </c>
      <c r="E24" s="16">
        <f>'Scenarios'!G15</f>
        <v/>
      </c>
      <c r="F24" s="16">
        <f>'Scenarios'!H15</f>
        <v/>
      </c>
      <c r="G24" s="16">
        <f>'Scenarios'!I15</f>
        <v/>
      </c>
    </row>
    <row r="25">
      <c r="B25" s="10" t="inlineStr">
        <is>
          <t>FY29E EPS</t>
        </is>
      </c>
      <c r="C25" s="7" t="inlineStr">
        <is>
          <t>$</t>
        </is>
      </c>
      <c r="D25" s="16">
        <f>'Scenarios'!F16</f>
        <v/>
      </c>
      <c r="E25" s="16">
        <f>'Scenarios'!G16</f>
        <v/>
      </c>
      <c r="F25" s="16">
        <f>'Scenarios'!H16</f>
        <v/>
      </c>
      <c r="G25" s="16">
        <f>'Scenarios'!I16</f>
        <v/>
      </c>
    </row>
    <row r="26">
      <c r="B26" s="10" t="inlineStr">
        <is>
          <t>Exit P/E (NTM)</t>
        </is>
      </c>
      <c r="C26" s="7" t="inlineStr">
        <is>
          <t>x</t>
        </is>
      </c>
      <c r="D26" s="14">
        <f>'Scenarios'!F26</f>
        <v/>
      </c>
      <c r="E26" s="14">
        <f>'Scenarios'!G26</f>
        <v/>
      </c>
      <c r="F26" s="14">
        <f>'Scenarios'!H26</f>
        <v/>
      </c>
    </row>
    <row r="27">
      <c r="B27" s="6" t="inlineStr">
        <is>
          <t>Price at the end of 2028</t>
        </is>
      </c>
      <c r="C27" s="7" t="inlineStr">
        <is>
          <t>$</t>
        </is>
      </c>
      <c r="D27" s="22">
        <f>'Scenarios'!F27</f>
        <v/>
      </c>
      <c r="E27" s="22">
        <f>'Scenarios'!G27</f>
        <v/>
      </c>
      <c r="F27" s="22">
        <f>'Scenarios'!H27</f>
        <v/>
      </c>
      <c r="G27" s="23">
        <f>'Scenarios'!I27</f>
        <v/>
      </c>
    </row>
    <row r="28">
      <c r="B28" s="10" t="inlineStr">
        <is>
          <t>IRR to the end of 2028</t>
        </is>
      </c>
      <c r="C28" s="7" t="inlineStr">
        <is>
          <t>%</t>
        </is>
      </c>
      <c r="D28" s="15">
        <f>'Scenarios'!F28</f>
        <v/>
      </c>
      <c r="E28" s="15">
        <f>'Scenarios'!G28</f>
        <v/>
      </c>
      <c r="F28" s="15">
        <f>'Scenarios'!H28</f>
        <v/>
      </c>
      <c r="G28" s="15">
        <f>'Scenarios'!I28</f>
        <v/>
      </c>
    </row>
    <row r="29">
      <c r="B29" s="6" t="inlineStr">
        <is>
          <t>Price at the end of 2029</t>
        </is>
      </c>
      <c r="C29" s="7" t="inlineStr">
        <is>
          <t>$</t>
        </is>
      </c>
      <c r="D29" s="22">
        <f>'Scenarios'!F29</f>
        <v/>
      </c>
      <c r="E29" s="22">
        <f>'Scenarios'!G29</f>
        <v/>
      </c>
      <c r="F29" s="22">
        <f>'Scenarios'!H29</f>
        <v/>
      </c>
      <c r="G29" s="23">
        <f>'Scenarios'!I29</f>
        <v/>
      </c>
    </row>
    <row r="30">
      <c r="B30" s="10" t="inlineStr">
        <is>
          <t>IRR to the end of 2029</t>
        </is>
      </c>
      <c r="C30" s="7" t="inlineStr">
        <is>
          <t>%</t>
        </is>
      </c>
      <c r="D30" s="15">
        <f>'Scenarios'!F30</f>
        <v/>
      </c>
      <c r="E30" s="15">
        <f>'Scenarios'!G30</f>
        <v/>
      </c>
      <c r="F30" s="15">
        <f>'Scenarios'!H30</f>
        <v/>
      </c>
      <c r="G30" s="15">
        <f>'Scenarios'!I30</f>
        <v/>
      </c>
    </row>
    <row r="31">
      <c r="B31" s="10" t="inlineStr">
        <is>
          <t>Entry price for the hurdle IRR to exit 1</t>
        </is>
      </c>
      <c r="C31" s="7" t="inlineStr">
        <is>
          <t>$</t>
        </is>
      </c>
      <c r="D31" s="16">
        <f>'Scenarios'!F31</f>
        <v/>
      </c>
      <c r="E31" s="16">
        <f>'Scenarios'!G31</f>
        <v/>
      </c>
      <c r="F31" s="16">
        <f>'Scenarios'!H31</f>
        <v/>
      </c>
      <c r="G31" s="16">
        <f>'Scenarios'!I31</f>
        <v/>
      </c>
    </row>
    <row r="32">
      <c r="B32" s="10" t="inlineStr">
        <is>
          <t>FY29E operating margin</t>
        </is>
      </c>
      <c r="C32" s="7" t="inlineStr">
        <is>
          <t>%</t>
        </is>
      </c>
      <c r="D32" s="15">
        <f>'Scenarios'!F12</f>
        <v/>
      </c>
      <c r="E32" s="15">
        <f>'Scenarios'!G12</f>
        <v/>
      </c>
      <c r="F32" s="15">
        <f>'Scenarios'!H12</f>
        <v/>
      </c>
    </row>
    <row r="33">
      <c r="B33" s="10" t="inlineStr">
        <is>
          <t>FY28E advertising revenue</t>
        </is>
      </c>
      <c r="C33" s="7" t="inlineStr">
        <is>
          <t>$mm</t>
        </is>
      </c>
      <c r="D33" s="12">
        <f>'Scenarios'!F10</f>
        <v/>
      </c>
      <c r="E33" s="12">
        <f>'Scenarios'!G10</f>
        <v/>
      </c>
      <c r="F33" s="12">
        <f>'Scenarios'!H10</f>
        <v/>
      </c>
    </row>
    <row r="34">
      <c r="B34" s="10" t="inlineStr">
        <is>
          <t>FY27E share repurchases</t>
        </is>
      </c>
      <c r="C34" s="7" t="inlineStr">
        <is>
          <t>$mm</t>
        </is>
      </c>
      <c r="D34" s="12">
        <f>'Scenarios'!F20</f>
        <v/>
      </c>
      <c r="E34" s="12">
        <f>'Scenarios'!G20</f>
        <v/>
      </c>
      <c r="F34" s="12">
        <f>'Scenarios'!H20</f>
        <v/>
      </c>
    </row>
    <row r="35">
      <c r="B35" s="10" t="inlineStr">
        <is>
          <t>Reward / risk, 2028 price path: (bull - price) / (price - bear)</t>
        </is>
      </c>
      <c r="C35" s="7" t="inlineStr">
        <is>
          <t>x</t>
        </is>
      </c>
      <c r="D35" s="24">
        <f>(F27-'Drivers'!$D$7)/('Drivers'!$D$7-D27)</f>
        <v/>
      </c>
    </row>
    <row r="36">
      <c r="B36" s="10" t="inlineStr">
        <is>
          <t>Reward / risk, DCF: (bull - price) / (price - bear)</t>
        </is>
      </c>
      <c r="C36" s="7" t="inlineStr">
        <is>
          <t>x</t>
        </is>
      </c>
      <c r="D36" s="24">
        <f>(F20-'Drivers'!$D$7)/('Drivers'!$D$7-D20)</f>
        <v/>
      </c>
    </row>
    <row r="38">
      <c r="B38" s="4" t="inlineStr">
        <is>
          <t>ESTIMATES, ACTIVE SCENARIO</t>
        </is>
      </c>
      <c r="C38" s="25">
        <f>CHOOSE('Drivers'!$D$6,"Bear","Base","Bull")</f>
        <v/>
      </c>
      <c r="D38" s="5" t="n"/>
      <c r="E38" s="5" t="n"/>
      <c r="F38" s="5" t="n"/>
      <c r="G38" s="5" t="n"/>
      <c r="H38" s="5" t="n"/>
      <c r="I38" s="5" t="n"/>
      <c r="J38" s="5" t="n"/>
    </row>
    <row r="39">
      <c r="B39" s="26" t="inlineStr">
        <is>
          <t>Fiscal year</t>
        </is>
      </c>
      <c r="C39" s="18" t="n"/>
      <c r="D39" s="27" t="n">
        <v>2025</v>
      </c>
      <c r="E39" s="28" t="n">
        <v>2026</v>
      </c>
      <c r="F39" s="28" t="n">
        <v>2027</v>
      </c>
      <c r="G39" s="28" t="n">
        <v>2028</v>
      </c>
      <c r="H39" s="28" t="n">
        <v>2029</v>
      </c>
      <c r="I39" s="28" t="n">
        <v>2030</v>
      </c>
    </row>
    <row r="40">
      <c r="B40" s="6" t="inlineStr">
        <is>
          <t>Revenue</t>
        </is>
      </c>
      <c r="C40" s="7" t="inlineStr">
        <is>
          <t>$mm</t>
        </is>
      </c>
      <c r="D40" s="13">
        <f>'Model'!H16</f>
        <v/>
      </c>
      <c r="E40" s="29">
        <f>'Model'!I16</f>
        <v/>
      </c>
      <c r="F40" s="13">
        <f>'Model'!J16</f>
        <v/>
      </c>
      <c r="G40" s="13">
        <f>'Model'!K16</f>
        <v/>
      </c>
      <c r="H40" s="13">
        <f>'Model'!L16</f>
        <v/>
      </c>
      <c r="I40" s="13">
        <f>'Model'!M16</f>
        <v/>
      </c>
    </row>
    <row r="41">
      <c r="B41" s="30" t="inlineStr">
        <is>
          <t>y/y</t>
        </is>
      </c>
      <c r="C41" s="7" t="inlineStr">
        <is>
          <t>%</t>
        </is>
      </c>
      <c r="D41" s="15">
        <f>'Model'!H17</f>
        <v/>
      </c>
      <c r="E41" s="31">
        <f>'Model'!I17</f>
        <v/>
      </c>
      <c r="F41" s="15">
        <f>'Model'!J17</f>
        <v/>
      </c>
      <c r="G41" s="15">
        <f>'Model'!K17</f>
        <v/>
      </c>
      <c r="H41" s="15">
        <f>'Model'!L17</f>
        <v/>
      </c>
      <c r="I41" s="15">
        <f>'Model'!M17</f>
        <v/>
      </c>
    </row>
    <row r="42">
      <c r="B42" s="10" t="inlineStr">
        <is>
          <t>Advertising revenue (memo)</t>
        </is>
      </c>
      <c r="C42" s="7" t="inlineStr">
        <is>
          <t>$mm</t>
        </is>
      </c>
      <c r="D42" s="12">
        <f>'Model'!H18</f>
        <v/>
      </c>
      <c r="E42" s="32">
        <f>'Model'!I18</f>
        <v/>
      </c>
      <c r="F42" s="12">
        <f>'Model'!J18</f>
        <v/>
      </c>
      <c r="G42" s="12">
        <f>'Model'!K18</f>
        <v/>
      </c>
      <c r="H42" s="12">
        <f>'Model'!L18</f>
        <v/>
      </c>
      <c r="I42" s="12">
        <f>'Model'!M18</f>
        <v/>
      </c>
    </row>
    <row r="43">
      <c r="B43" s="30" t="inlineStr">
        <is>
          <t>Content amortization growth</t>
        </is>
      </c>
      <c r="C43" s="7" t="inlineStr">
        <is>
          <t>%</t>
        </is>
      </c>
      <c r="D43" s="15">
        <f>'Model'!H25</f>
        <v/>
      </c>
      <c r="E43" s="31">
        <f>'Model'!I25</f>
        <v/>
      </c>
      <c r="F43" s="15">
        <f>'Model'!J25</f>
        <v/>
      </c>
      <c r="G43" s="15">
        <f>'Model'!K25</f>
        <v/>
      </c>
      <c r="H43" s="15">
        <f>'Model'!L25</f>
        <v/>
      </c>
      <c r="I43" s="15">
        <f>'Model'!M25</f>
        <v/>
      </c>
    </row>
    <row r="44">
      <c r="B44" s="10" t="inlineStr">
        <is>
          <t>Operating income</t>
        </is>
      </c>
      <c r="C44" s="7" t="inlineStr">
        <is>
          <t>$mm</t>
        </is>
      </c>
      <c r="D44" s="12">
        <f>'Model'!H33</f>
        <v/>
      </c>
      <c r="E44" s="32">
        <f>'Model'!I33</f>
        <v/>
      </c>
      <c r="F44" s="12">
        <f>'Model'!J33</f>
        <v/>
      </c>
      <c r="G44" s="12">
        <f>'Model'!K33</f>
        <v/>
      </c>
      <c r="H44" s="12">
        <f>'Model'!L33</f>
        <v/>
      </c>
      <c r="I44" s="12">
        <f>'Model'!M33</f>
        <v/>
      </c>
    </row>
    <row r="45">
      <c r="B45" s="30" t="inlineStr">
        <is>
          <t>operating margin</t>
        </is>
      </c>
      <c r="C45" s="7" t="inlineStr">
        <is>
          <t>%</t>
        </is>
      </c>
      <c r="D45" s="15">
        <f>'Model'!H34</f>
        <v/>
      </c>
      <c r="E45" s="31">
        <f>'Model'!I34</f>
        <v/>
      </c>
      <c r="F45" s="15">
        <f>'Model'!J34</f>
        <v/>
      </c>
      <c r="G45" s="15">
        <f>'Model'!K34</f>
        <v/>
      </c>
      <c r="H45" s="15">
        <f>'Model'!L34</f>
        <v/>
      </c>
      <c r="I45" s="15">
        <f>'Model'!M34</f>
        <v/>
      </c>
    </row>
    <row r="46">
      <c r="B46" s="10" t="inlineStr">
        <is>
          <t>Net income</t>
        </is>
      </c>
      <c r="C46" s="7" t="inlineStr">
        <is>
          <t>$mm</t>
        </is>
      </c>
      <c r="D46" s="12">
        <f>'Model'!H42</f>
        <v/>
      </c>
      <c r="E46" s="32">
        <f>'Model'!I42</f>
        <v/>
      </c>
      <c r="F46" s="12">
        <f>'Model'!J42</f>
        <v/>
      </c>
      <c r="G46" s="12">
        <f>'Model'!K42</f>
        <v/>
      </c>
      <c r="H46" s="12">
        <f>'Model'!L42</f>
        <v/>
      </c>
      <c r="I46" s="12">
        <f>'Model'!M42</f>
        <v/>
      </c>
    </row>
    <row r="47">
      <c r="B47" s="10" t="inlineStr">
        <is>
          <t>Diluted EPS, GAAP</t>
        </is>
      </c>
      <c r="C47" s="7" t="inlineStr">
        <is>
          <t>$</t>
        </is>
      </c>
      <c r="D47" s="16">
        <f>'Model'!H45</f>
        <v/>
      </c>
      <c r="E47" s="33">
        <f>'Model'!I45</f>
        <v/>
      </c>
      <c r="F47" s="16">
        <f>'Model'!J45</f>
        <v/>
      </c>
      <c r="G47" s="16">
        <f>'Model'!K45</f>
        <v/>
      </c>
      <c r="H47" s="16">
        <f>'Model'!L45</f>
        <v/>
      </c>
      <c r="I47" s="16">
        <f>'Model'!M45</f>
        <v/>
      </c>
    </row>
    <row r="48">
      <c r="B48" s="6" t="inlineStr">
        <is>
          <t>Diluted EPS ex one-offs</t>
        </is>
      </c>
      <c r="C48" s="7" t="inlineStr">
        <is>
          <t>$</t>
        </is>
      </c>
      <c r="D48" s="22">
        <f>'Model'!H47</f>
        <v/>
      </c>
      <c r="E48" s="34">
        <f>'Model'!I47</f>
        <v/>
      </c>
      <c r="F48" s="22">
        <f>'Model'!J47</f>
        <v/>
      </c>
      <c r="G48" s="22">
        <f>'Model'!K47</f>
        <v/>
      </c>
      <c r="H48" s="22">
        <f>'Model'!L47</f>
        <v/>
      </c>
      <c r="I48" s="22">
        <f>'Model'!M47</f>
        <v/>
      </c>
    </row>
    <row r="49">
      <c r="B49" s="10" t="inlineStr">
        <is>
          <t>Free cash flow</t>
        </is>
      </c>
      <c r="C49" s="7" t="inlineStr">
        <is>
          <t>$mm</t>
        </is>
      </c>
      <c r="D49" s="12">
        <f>'Model'!H61</f>
        <v/>
      </c>
      <c r="E49" s="32">
        <f>'Model'!I61</f>
        <v/>
      </c>
      <c r="F49" s="12">
        <f>'Model'!J61</f>
        <v/>
      </c>
      <c r="G49" s="12">
        <f>'Model'!K61</f>
        <v/>
      </c>
      <c r="H49" s="12">
        <f>'Model'!L61</f>
        <v/>
      </c>
      <c r="I49" s="12">
        <f>'Model'!M61</f>
        <v/>
      </c>
    </row>
    <row r="50">
      <c r="B50" s="10" t="inlineStr">
        <is>
          <t>Share repurchases</t>
        </is>
      </c>
      <c r="C50" s="7" t="inlineStr">
        <is>
          <t>$mm</t>
        </is>
      </c>
      <c r="D50" s="12">
        <f>'Model'!H68</f>
        <v/>
      </c>
      <c r="E50" s="32">
        <f>'Model'!I68</f>
        <v/>
      </c>
      <c r="F50" s="12">
        <f>'Model'!J68</f>
        <v/>
      </c>
      <c r="G50" s="12">
        <f>'Model'!K68</f>
        <v/>
      </c>
      <c r="H50" s="12">
        <f>'Model'!L68</f>
        <v/>
      </c>
      <c r="I50" s="12">
        <f>'Model'!M68</f>
        <v/>
      </c>
    </row>
    <row r="51">
      <c r="B51" s="10" t="inlineStr">
        <is>
          <t>Diluted shares, weighted</t>
        </is>
      </c>
      <c r="C51" s="7" t="inlineStr">
        <is>
          <t>mm</t>
        </is>
      </c>
      <c r="D51" s="11">
        <f>'Model'!H44</f>
        <v/>
      </c>
      <c r="E51" s="35">
        <f>'Model'!I44</f>
        <v/>
      </c>
      <c r="F51" s="11">
        <f>'Model'!J44</f>
        <v/>
      </c>
      <c r="G51" s="11">
        <f>'Model'!K44</f>
        <v/>
      </c>
      <c r="H51" s="11">
        <f>'Model'!L44</f>
        <v/>
      </c>
      <c r="I51" s="11">
        <f>'Model'!M44</f>
        <v/>
      </c>
    </row>
    <row r="52">
      <c r="B52" s="10" t="inlineStr">
        <is>
          <t>Net debt, end of year</t>
        </is>
      </c>
      <c r="C52" s="7" t="inlineStr">
        <is>
          <t>$mm</t>
        </is>
      </c>
      <c r="D52" s="12">
        <f>'Model'!H71</f>
        <v/>
      </c>
      <c r="E52" s="32">
        <f>'Model'!I71</f>
        <v/>
      </c>
      <c r="F52" s="12">
        <f>'Model'!J71</f>
        <v/>
      </c>
      <c r="G52" s="12">
        <f>'Model'!K71</f>
        <v/>
      </c>
      <c r="H52" s="12">
        <f>'Model'!L71</f>
        <v/>
      </c>
      <c r="I52" s="12">
        <f>'Model'!M71</f>
        <v/>
      </c>
    </row>
    <row r="54">
      <c r="B54" s="4" t="inlineStr">
        <is>
          <t>GUIDANCE (2026-10-20) AND STREET  (ACTIVE SCENARIO)</t>
        </is>
      </c>
      <c r="C54" s="5" t="n"/>
      <c r="D54" s="5" t="n"/>
      <c r="E54" s="5" t="n"/>
      <c r="F54" s="5" t="n"/>
      <c r="G54" s="5" t="n"/>
    </row>
    <row r="55">
      <c r="B55" s="18" t="n"/>
      <c r="C55" s="18" t="n"/>
      <c r="D55" s="19" t="inlineStr">
        <is>
          <t>Guide</t>
        </is>
      </c>
      <c r="E55" s="19" t="inlineStr"/>
      <c r="F55" s="19" t="inlineStr">
        <is>
          <t>Model</t>
        </is>
      </c>
      <c r="G55" s="19" t="inlineStr">
        <is>
          <t>Check</t>
        </is>
      </c>
    </row>
    <row r="56">
      <c r="B56" s="10" t="inlineStr">
        <is>
          <t>FY26 revenue</t>
        </is>
      </c>
      <c r="C56" s="7" t="inlineStr">
        <is>
          <t>$mm</t>
        </is>
      </c>
      <c r="D56" s="12">
        <f>'Drivers'!$D$95</f>
        <v/>
      </c>
      <c r="F56" s="12">
        <f>'Model'!I16</f>
        <v/>
      </c>
      <c r="G56" s="10">
        <f>IF(ABS(F56-D56)&lt;=300,"near guide",IF(F56&lt;D56,"below","above"))</f>
        <v/>
      </c>
    </row>
    <row r="57">
      <c r="B57" s="10" t="inlineStr">
        <is>
          <t>FY26 operating margin</t>
        </is>
      </c>
      <c r="C57" s="7" t="inlineStr">
        <is>
          <t>%</t>
        </is>
      </c>
      <c r="D57" s="15">
        <f>'Drivers'!$D$96</f>
        <v/>
      </c>
      <c r="F57" s="15">
        <f>'Model'!I34</f>
        <v/>
      </c>
      <c r="G57" s="10">
        <f>IF(ABS(F57-D57)&lt;=0.004,"near guide",IF(F57&lt;D57,"below","above"))</f>
        <v/>
      </c>
    </row>
    <row r="58">
      <c r="B58" s="10" t="inlineStr">
        <is>
          <t>FY26 free cash flow (with the fee)</t>
        </is>
      </c>
      <c r="C58" s="7" t="inlineStr">
        <is>
          <t>$mm</t>
        </is>
      </c>
      <c r="D58" s="12">
        <f>'Drivers'!$D$97</f>
        <v/>
      </c>
      <c r="F58" s="12">
        <f>'Model'!I61</f>
        <v/>
      </c>
      <c r="G58" s="10">
        <f>IF(ABS(F58-D58)&lt;=600,"near guide",IF(F58&lt;D58,"below","above"))</f>
        <v/>
      </c>
    </row>
    <row r="59">
      <c r="B59" s="10" t="inlineStr">
        <is>
          <t>FY26 advertising revenue</t>
        </is>
      </c>
      <c r="C59" s="7" t="inlineStr">
        <is>
          <t>$mm</t>
        </is>
      </c>
      <c r="D59" s="12">
        <f>'Drivers'!$D$98</f>
        <v/>
      </c>
      <c r="F59" s="12">
        <f>'Model'!I18</f>
        <v/>
      </c>
      <c r="G59" s="10">
        <f>IF(ABS(F59-D59)&lt;=150,"near guide",IF(F59&lt;D59,"below","above"))</f>
        <v/>
      </c>
    </row>
    <row r="60">
      <c r="B60" s="10" t="inlineStr">
        <is>
          <t>FY26 content amortization growth</t>
        </is>
      </c>
      <c r="C60" s="7" t="inlineStr">
        <is>
          <t>%</t>
        </is>
      </c>
      <c r="D60" s="15">
        <f>'Drivers'!$D$99</f>
        <v/>
      </c>
      <c r="F60" s="15">
        <f>'Model'!I25</f>
        <v/>
      </c>
      <c r="G60" s="10">
        <f>IF(ABS(F60-D60)&lt;=0.01,"near guide",IF(F60&lt;D60,"below","above"))</f>
        <v/>
      </c>
    </row>
    <row r="61">
      <c r="B61" s="10" t="inlineStr">
        <is>
          <t>4Q26 revenue</t>
        </is>
      </c>
      <c r="C61" s="7" t="inlineStr">
        <is>
          <t>$mm</t>
        </is>
      </c>
      <c r="D61" s="12">
        <f>'Drivers'!$D$100</f>
        <v/>
      </c>
      <c r="F61" s="12">
        <f>'Quarterly'!L10</f>
        <v/>
      </c>
      <c r="G61" s="10">
        <f>IF(ABS(F61-D61)&lt;=150,"near guide",IF(F61&lt;D61,"below","above"))</f>
        <v/>
      </c>
    </row>
    <row r="62">
      <c r="B62" s="10" t="inlineStr">
        <is>
          <t>4Q26 operating income</t>
        </is>
      </c>
      <c r="C62" s="7" t="inlineStr">
        <is>
          <t>$mm</t>
        </is>
      </c>
      <c r="D62" s="12">
        <f>'Drivers'!$D$101</f>
        <v/>
      </c>
      <c r="F62" s="12">
        <f>'Quarterly'!L19</f>
        <v/>
      </c>
      <c r="G62" s="10">
        <f>IF(ABS(F62-D62)&lt;=150,"near guide",IF(F62&lt;D62,"below","above"))</f>
        <v/>
      </c>
    </row>
    <row r="63">
      <c r="B63" s="10" t="inlineStr">
        <is>
          <t>4Q26 diluted EPS</t>
        </is>
      </c>
      <c r="C63" s="7" t="inlineStr">
        <is>
          <t>$</t>
        </is>
      </c>
      <c r="D63" s="16">
        <f>'Drivers'!$D$102</f>
        <v/>
      </c>
      <c r="F63" s="16">
        <f>'Quarterly'!L28</f>
        <v/>
      </c>
      <c r="G63" s="10">
        <f>IF(ABS(F63-D63)&lt;=0.04,"near guide",IF(F63&lt;D63,"below","above"))</f>
        <v/>
      </c>
    </row>
    <row r="64">
      <c r="B64" s="18" t="n"/>
      <c r="C64" s="18" t="n"/>
      <c r="D64" s="19" t="inlineStr">
        <is>
          <t>Street</t>
        </is>
      </c>
      <c r="E64" s="19" t="inlineStr"/>
      <c r="F64" s="19" t="inlineStr">
        <is>
          <t>Model</t>
        </is>
      </c>
      <c r="G64" s="19" t="inlineStr">
        <is>
          <t>Model vs St.</t>
        </is>
      </c>
    </row>
    <row r="65">
      <c r="B65" s="10" t="inlineStr">
        <is>
          <t>FY26E revenue</t>
        </is>
      </c>
      <c r="C65" s="7" t="inlineStr">
        <is>
          <t>$mm</t>
        </is>
      </c>
      <c r="D65" s="12">
        <f>'Drivers'!$D$103</f>
        <v/>
      </c>
      <c r="F65" s="12">
        <f>'Model'!I16</f>
        <v/>
      </c>
      <c r="G65" s="36">
        <f>F65/D65-1</f>
        <v/>
      </c>
    </row>
    <row r="66">
      <c r="B66" s="10" t="inlineStr">
        <is>
          <t>FY26E EPS, GAAP (Street includes the fee)</t>
        </is>
      </c>
      <c r="C66" s="7" t="inlineStr">
        <is>
          <t>$</t>
        </is>
      </c>
      <c r="D66" s="16">
        <f>'Drivers'!$D$104</f>
        <v/>
      </c>
      <c r="F66" s="16">
        <f>'Model'!I45</f>
        <v/>
      </c>
      <c r="G66" s="36">
        <f>F66/D66-1</f>
        <v/>
      </c>
    </row>
    <row r="67">
      <c r="B67" s="10" t="inlineStr">
        <is>
          <t>FY27E revenue</t>
        </is>
      </c>
      <c r="C67" s="7" t="inlineStr">
        <is>
          <t>$mm</t>
        </is>
      </c>
      <c r="D67" s="12">
        <f>'Drivers'!$D$105</f>
        <v/>
      </c>
      <c r="F67" s="12">
        <f>'Model'!J16</f>
        <v/>
      </c>
      <c r="G67" s="36">
        <f>F67/D67-1</f>
        <v/>
      </c>
    </row>
    <row r="68">
      <c r="B68" s="10" t="inlineStr">
        <is>
          <t>FY27E EPS</t>
        </is>
      </c>
      <c r="C68" s="7" t="inlineStr">
        <is>
          <t>$</t>
        </is>
      </c>
      <c r="D68" s="16">
        <f>'Drivers'!$D$106</f>
        <v/>
      </c>
      <c r="F68" s="16">
        <f>'Model'!J47</f>
        <v/>
      </c>
      <c r="G68" s="36">
        <f>F68/D68-1</f>
        <v/>
      </c>
    </row>
    <row r="70">
      <c r="B70" s="4" t="inlineStr">
        <is>
          <t>MODEL CHECKS</t>
        </is>
      </c>
      <c r="C70" s="5" t="n"/>
      <c r="D70" s="5" t="n"/>
      <c r="E70" s="5" t="n"/>
      <c r="F70" s="5" t="n"/>
      <c r="G70" s="5" t="n"/>
    </row>
    <row r="71">
      <c r="B71" s="10" t="inlineStr">
        <is>
          <t>History ties to reported operating income, net income, EPS</t>
        </is>
      </c>
      <c r="D71" s="37">
        <f>IF(SUM('Model'!F86:H86)&lt;6,1,0)</f>
        <v/>
      </c>
    </row>
    <row r="72">
      <c r="B72" s="10" t="inlineStr">
        <is>
          <t>FY25 quarters sum to the annual revenue and net income</t>
        </is>
      </c>
      <c r="D72" s="37">
        <f>IF(ABS('Quarterly'!H10-'Model'!H16)+ABS('Quarterly'!H25-'Model'!H42)&lt;6,1,0)</f>
        <v/>
      </c>
    </row>
    <row r="73">
      <c r="B73" s="10" t="inlineStr">
        <is>
          <t>Quarterly operating income and net income match the reported figures</t>
        </is>
      </c>
      <c r="D73" s="37">
        <f>IF(SUMPRODUCT(ABS('Quarterly'!D19:G19-'Quarterly'!D21:G21))+SUMPRODUCT(ABS('Quarterly'!I19:K19-'Quarterly'!I21:K21))+SUMPRODUCT(ABS('Quarterly'!D25:G25-'Quarterly'!D26:G26))+SUMPRODUCT(ABS('Quarterly'!I25:K25-'Quarterly'!I26:K26))&lt;20,1,0)</f>
        <v/>
      </c>
    </row>
    <row r="74">
      <c r="B74" s="10" t="inlineStr">
        <is>
          <t>Probabilities sum to 100%</t>
        </is>
      </c>
      <c r="D74" s="37">
        <f>IF(ABS('Scenarios'!I7-1)&lt;0.0001,1,0)</f>
        <v/>
      </c>
    </row>
    <row r="75">
      <c r="B75" s="10" t="inlineStr">
        <is>
          <t>WACC exceeds terminal growth in every scenario</t>
        </is>
      </c>
      <c r="D75" s="37">
        <f>IF('Drivers'!$D$29&gt;MAX('Drivers'!F44:H44)+0.02,1,0)</f>
        <v/>
      </c>
    </row>
    <row r="76">
      <c r="B76" s="10" t="inlineStr">
        <is>
          <t>Active-scenario DCF equals its Scenarios chain</t>
        </is>
      </c>
      <c r="D76" s="37">
        <f>IF(ABS('Valuation'!D22-CHOOSE('Drivers'!$D$6,'Scenarios'!F24,'Scenarios'!G24,'Scenarios'!H24))&lt;0.005,1,0)</f>
        <v/>
      </c>
    </row>
    <row r="77">
      <c r="B77" s="10" t="inlineStr">
        <is>
          <t>Cash never falls below the holding level in any scenario</t>
        </is>
      </c>
      <c r="D77" s="37">
        <f>IF(AND(MIN('Scenarios'!I103:R103-'Scenarios'!I98:R98)&gt;-1,MIN('Scenarios'!I215:R215-'Scenarios'!I210:R210)&gt;-1,MIN('Scenarios'!I327:R327-'Scenarios'!I322:R322)&gt;-1),1,0)</f>
        <v/>
      </c>
    </row>
    <row r="78">
      <c r="B78" s="10" t="inlineStr">
        <is>
          <t>Share count falls every year in the base case</t>
        </is>
      </c>
      <c r="D78" s="37">
        <f>IF(MIN('Scenarios'!I219:R219)&gt;0,1,0)</f>
        <v/>
      </c>
    </row>
    <row r="79">
      <c r="B79" s="10" t="inlineStr">
        <is>
          <t>FY26E GAAP EPS within 3% of the Street</t>
        </is>
      </c>
      <c r="D79" s="37">
        <f>IF(ABS('Model'!I45/'Drivers'!$D$104-1)&lt;0.03,1,0)</f>
        <v/>
      </c>
    </row>
    <row r="80">
      <c r="B80" s="6" t="inlineStr">
        <is>
          <t>All checks</t>
        </is>
      </c>
      <c r="D80" s="38">
        <f>IF(SUM(D71:D79)=9,"OK","CHECK")</f>
        <v/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R107"/>
  <sheetViews>
    <sheetView showGridLines="0"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7" customWidth="1" min="3" max="3"/>
    <col width="11" customWidth="1" min="4" max="4"/>
    <col width="11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B1" s="1" t="inlineStr">
        <is>
          <t>Netflix, Inc.  |  Drivers</t>
        </is>
      </c>
    </row>
    <row r="2">
      <c r="B2" s="2" t="inlineStr">
        <is>
          <t>All inputs. FY25 10-K, Q3 2026 10-Q and shareholder letter (2026-10-20), market data 2026-10-23.</t>
        </is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4" t="inlineStr">
        <is>
          <t>SCENARIO AND MARKET</t>
        </is>
      </c>
      <c r="C5" s="5" t="n"/>
      <c r="D5" s="5" t="n"/>
      <c r="E5" s="5" t="n"/>
    </row>
    <row r="6">
      <c r="B6" s="10" t="inlineStr">
        <is>
          <t>Active scenario  (1 = Bear, 2 = Base, 3 = Bull)</t>
        </is>
      </c>
      <c r="C6" s="39">
        <f>CHOOSE(D6,"Bear","Base","Bull")</f>
        <v/>
      </c>
      <c r="D6" s="40" t="n">
        <v>2</v>
      </c>
      <c r="E6" s="41" t="inlineStr">
        <is>
          <t>drives Model, Valuation and the Quarterly 4Q26E column; Scenarios and Summary values do not move</t>
        </is>
      </c>
    </row>
    <row r="7">
      <c r="B7" s="10" t="inlineStr">
        <is>
          <t>Share price</t>
        </is>
      </c>
      <c r="C7" s="7" t="inlineStr">
        <is>
          <t>$</t>
        </is>
      </c>
      <c r="D7" s="42" t="n">
        <v>66.29000000000001</v>
      </c>
      <c r="E7" s="41" t="inlineStr">
        <is>
          <t>Nasdaq close 2026-10-23; 52-week range $64.10 to $116.73; 10-for-1 split 2025-11-14</t>
        </is>
      </c>
    </row>
    <row r="8">
      <c r="B8" s="10" t="inlineStr">
        <is>
          <t>Valuation date</t>
        </is>
      </c>
      <c r="D8" s="43" t="n">
        <v>46318</v>
      </c>
      <c r="E8" s="41" t="inlineStr">
        <is>
          <t>today</t>
        </is>
      </c>
    </row>
    <row r="9">
      <c r="B9" s="10" t="inlineStr">
        <is>
          <t>Balance-sheet date used in the bridge</t>
        </is>
      </c>
      <c r="D9" s="43" t="n">
        <v>46295</v>
      </c>
      <c r="E9" s="41" t="inlineStr">
        <is>
          <t>Q3 2026 10-Q</t>
        </is>
      </c>
    </row>
    <row r="10">
      <c r="B10" s="10" t="inlineStr">
        <is>
          <t>End of FY2026</t>
        </is>
      </c>
      <c r="D10" s="43" t="n">
        <v>46387</v>
      </c>
    </row>
    <row r="11">
      <c r="B11" s="10" t="inlineStr">
        <is>
          <t>Exit date 1: end of 2028</t>
        </is>
      </c>
      <c r="D11" s="43" t="n">
        <v>47118</v>
      </c>
      <c r="E11" s="41" t="inlineStr">
        <is>
          <t>multiple applied to 2029E EPS</t>
        </is>
      </c>
    </row>
    <row r="12">
      <c r="B12" s="10" t="inlineStr">
        <is>
          <t>Exit date 2: end of 2029</t>
        </is>
      </c>
      <c r="D12" s="43" t="n">
        <v>47483</v>
      </c>
      <c r="E12" s="41" t="inlineStr">
        <is>
          <t>multiple applied to 2030E EPS</t>
        </is>
      </c>
    </row>
    <row r="13">
      <c r="B13" s="10" t="inlineStr">
        <is>
          <t>Diluted shares at 9/30/26</t>
        </is>
      </c>
      <c r="C13" s="7" t="inlineStr">
        <is>
          <t>mm</t>
        </is>
      </c>
      <c r="D13" s="44" t="n">
        <v>4184</v>
      </c>
      <c r="E13" s="41" t="inlineStr">
        <is>
          <t>4,106.3 basic on the 10-Q cover + ~78 dilutive (Q3 basic $0.89 vs diluted $0.87)</t>
        </is>
      </c>
    </row>
    <row r="14">
      <c r="B14" s="10" t="inlineStr">
        <is>
          <t>Cash and short-term investments</t>
        </is>
      </c>
      <c r="C14" s="7" t="inlineStr">
        <is>
          <t>$mm</t>
        </is>
      </c>
      <c r="D14" s="45" t="n">
        <v>8223</v>
      </c>
      <c r="E14" s="41" t="inlineStr">
        <is>
          <t>9/30/26: 8,194 + 29</t>
        </is>
      </c>
    </row>
    <row r="15">
      <c r="B15" s="10" t="inlineStr">
        <is>
          <t>Gross debt (senior notes at par)</t>
        </is>
      </c>
      <c r="C15" s="7" t="inlineStr">
        <is>
          <t>$mm</t>
        </is>
      </c>
      <c r="D15" s="45" t="n">
        <v>15337</v>
      </c>
      <c r="E15" s="41" t="inlineStr">
        <is>
          <t>9/30/26: $15,337mm par, carrying $15,132mm; EUR 4,700mm; $3B revolver and $3B CP undrawn</t>
        </is>
      </c>
    </row>
    <row r="16">
      <c r="B16" s="6" t="inlineStr">
        <is>
          <t>Net debt</t>
        </is>
      </c>
      <c r="C16" s="7" t="inlineStr">
        <is>
          <t>$mm</t>
        </is>
      </c>
      <c r="D16" s="46">
        <f>D15-D14</f>
        <v/>
      </c>
      <c r="E16" s="41" t="inlineStr">
        <is>
          <t>the letter's non-GAAP net debt $7.1B</t>
        </is>
      </c>
    </row>
    <row r="17">
      <c r="B17" s="10" t="inlineStr">
        <is>
          <t>WBD termination fee received, Q1 2026 (pre-tax)</t>
        </is>
      </c>
      <c r="C17" s="7" t="inlineStr">
        <is>
          <t>$mm</t>
        </is>
      </c>
      <c r="D17" s="45" t="n">
        <v>2800</v>
      </c>
      <c r="E17" s="41" t="inlineStr">
        <is>
          <t>paid by Paramount Skydance on WBD's behalf; booked in interest and other income</t>
        </is>
      </c>
    </row>
    <row r="18">
      <c r="B18" s="10" t="inlineStr">
        <is>
          <t>Market capitalization</t>
        </is>
      </c>
      <c r="C18" s="7" t="inlineStr">
        <is>
          <t>$mm</t>
        </is>
      </c>
      <c r="D18" s="47">
        <f>D7*D13</f>
        <v/>
      </c>
    </row>
    <row r="19">
      <c r="B19" s="6" t="inlineStr">
        <is>
          <t>Enterprise value</t>
        </is>
      </c>
      <c r="C19" s="7" t="inlineStr">
        <is>
          <t>$mm</t>
        </is>
      </c>
      <c r="D19" s="46">
        <f>D18+D16</f>
        <v/>
      </c>
    </row>
    <row r="21">
      <c r="B21" s="4" t="inlineStr">
        <is>
          <t>COST OF CAPITAL</t>
        </is>
      </c>
      <c r="C21" s="5" t="n"/>
      <c r="D21" s="5" t="n"/>
      <c r="E21" s="5" t="n"/>
    </row>
    <row r="22">
      <c r="B22" s="10" t="inlineStr">
        <is>
          <t>Risk-free rate</t>
        </is>
      </c>
      <c r="C22" s="7" t="inlineStr">
        <is>
          <t>%</t>
        </is>
      </c>
      <c r="D22" s="48" t="n">
        <v>0.0499</v>
      </c>
      <c r="E22" s="41" t="inlineStr">
        <is>
          <t>UST 10Y, 2026-10-23</t>
        </is>
      </c>
    </row>
    <row r="23">
      <c r="B23" s="10" t="inlineStr">
        <is>
          <t>Beta</t>
        </is>
      </c>
      <c r="C23" s="7" t="inlineStr">
        <is>
          <t>x</t>
        </is>
      </c>
      <c r="D23" s="49" t="n">
        <v>1.25</v>
      </c>
      <c r="E23" s="41" t="inlineStr">
        <is>
          <t>judgment: 5y regression 1.61 carries the 2022 drawdown; 2y nearer 1.1</t>
        </is>
      </c>
    </row>
    <row r="24">
      <c r="B24" s="10" t="inlineStr">
        <is>
          <t>Equity risk premium</t>
        </is>
      </c>
      <c r="C24" s="7" t="inlineStr">
        <is>
          <t>%</t>
        </is>
      </c>
      <c r="D24" s="48" t="n">
        <v>0.05</v>
      </c>
      <c r="E24" s="41" t="inlineStr">
        <is>
          <t>judgment, desk convention</t>
        </is>
      </c>
    </row>
    <row r="25">
      <c r="B25" s="10" t="inlineStr">
        <is>
          <t>Cost of equity</t>
        </is>
      </c>
      <c r="C25" s="7" t="inlineStr">
        <is>
          <t>%</t>
        </is>
      </c>
      <c r="D25" s="50">
        <f>D22+D23*D24</f>
        <v/>
      </c>
    </row>
    <row r="26">
      <c r="B26" s="10" t="inlineStr">
        <is>
          <t>Pre-tax cost of debt</t>
        </is>
      </c>
      <c r="C26" s="7" t="inlineStr">
        <is>
          <t>%</t>
        </is>
      </c>
      <c r="D26" s="48" t="n">
        <v>0.053</v>
      </c>
      <c r="E26" s="41" t="inlineStr">
        <is>
          <t>Aug 2026 notes: 5.25% 2036, 5.40% 2054</t>
        </is>
      </c>
    </row>
    <row r="27">
      <c r="B27" s="10" t="inlineStr">
        <is>
          <t>Tax shield rate</t>
        </is>
      </c>
      <c r="C27" s="7" t="inlineStr">
        <is>
          <t>%</t>
        </is>
      </c>
      <c r="D27" s="51" t="n">
        <v>0.165</v>
      </c>
    </row>
    <row r="28">
      <c r="B28" s="10" t="inlineStr">
        <is>
          <t>Debt / (debt + market cap)</t>
        </is>
      </c>
      <c r="C28" s="7" t="inlineStr">
        <is>
          <t>%</t>
        </is>
      </c>
      <c r="D28" s="36">
        <f>D15/(D15+D18)</f>
        <v/>
      </c>
    </row>
    <row r="29">
      <c r="B29" s="6" t="inlineStr">
        <is>
          <t>WACC</t>
        </is>
      </c>
      <c r="C29" s="7" t="inlineStr">
        <is>
          <t>%</t>
        </is>
      </c>
      <c r="D29" s="52">
        <f>(1-D28)*D25+D28*D26*(1-D27)</f>
        <v/>
      </c>
    </row>
    <row r="31">
      <c r="B31" s="4" t="inlineStr">
        <is>
          <t>CASH AND CAPITAL CONVENTIONS</t>
        </is>
      </c>
      <c r="C31" s="5" t="n"/>
      <c r="D31" s="5" t="n"/>
      <c r="E31" s="5" t="n"/>
    </row>
    <row r="32">
      <c r="B32" s="10" t="inlineStr">
        <is>
          <t>Cash held, months of revenue</t>
        </is>
      </c>
      <c r="C32" s="7" t="inlineStr">
        <is>
          <t>mo</t>
        </is>
      </c>
      <c r="D32" s="53" t="n">
        <v>2</v>
      </c>
      <c r="E32" s="41" t="inlineStr">
        <is>
          <t>management's rule of thumb is about two months; 9/30/26 held 1.9 months</t>
        </is>
      </c>
    </row>
    <row r="33">
      <c r="B33" s="10" t="inlineStr">
        <is>
          <t>Share creep before buybacks</t>
        </is>
      </c>
      <c r="C33" s="7" t="inlineStr">
        <is>
          <t>%/yr</t>
        </is>
      </c>
      <c r="D33" s="48" t="n">
        <v>0.004</v>
      </c>
      <c r="E33" s="41" t="inlineStr">
        <is>
          <t>equity-comp dilution</t>
        </is>
      </c>
    </row>
    <row r="34">
      <c r="B34" s="10" t="inlineStr">
        <is>
          <t>2026 blended repurchase price</t>
        </is>
      </c>
      <c r="C34" s="7" t="inlineStr">
        <is>
          <t>$</t>
        </is>
      </c>
      <c r="D34" s="54" t="n">
        <v>82</v>
      </c>
      <c r="E34" s="41" t="inlineStr">
        <is>
          <t>9M actual $85 (127mm shares, $10.8B); Q4 near the current price</t>
        </is>
      </c>
    </row>
    <row r="35">
      <c r="B35" s="10" t="inlineStr">
        <is>
          <t>Repurchase price growth after 2026</t>
        </is>
      </c>
      <c r="C35" s="7" t="inlineStr">
        <is>
          <t>%/yr</t>
        </is>
      </c>
      <c r="D35" s="51" t="n">
        <v>0.08</v>
      </c>
      <c r="E35" s="41" t="inlineStr">
        <is>
          <t>buybacks execute at today's price compounded</t>
        </is>
      </c>
    </row>
    <row r="36">
      <c r="B36" s="10" t="inlineStr">
        <is>
          <t>Hurdle IRR for the entry price</t>
        </is>
      </c>
      <c r="C36" s="7" t="inlineStr">
        <is>
          <t>%</t>
        </is>
      </c>
      <c r="D36" s="51" t="n">
        <v>0.15</v>
      </c>
      <c r="E36" s="41" t="inlineStr">
        <is>
          <t>what the hold has to earn</t>
        </is>
      </c>
    </row>
    <row r="37">
      <c r="B37" s="10" t="inlineStr">
        <is>
          <t>Sensitivity step, WACC</t>
        </is>
      </c>
      <c r="C37" s="7" t="inlineStr">
        <is>
          <t>%</t>
        </is>
      </c>
      <c r="D37" s="48" t="n">
        <v>0.0075</v>
      </c>
    </row>
    <row r="38">
      <c r="B38" s="10" t="inlineStr">
        <is>
          <t>Sensitivity step, terminal growth</t>
        </is>
      </c>
      <c r="C38" s="7" t="inlineStr">
        <is>
          <t>%</t>
        </is>
      </c>
      <c r="D38" s="48" t="n">
        <v>0.005</v>
      </c>
    </row>
    <row r="39">
      <c r="B39" s="10" t="inlineStr">
        <is>
          <t>Sensitivity step, exit P/E</t>
        </is>
      </c>
      <c r="C39" s="7" t="inlineStr">
        <is>
          <t>x</t>
        </is>
      </c>
      <c r="D39" s="53" t="n">
        <v>2</v>
      </c>
    </row>
    <row r="41">
      <c r="B41" s="4" t="inlineStr">
        <is>
          <t>SCENARIO SCALARS</t>
        </is>
      </c>
      <c r="C41" s="5" t="n"/>
      <c r="D41" s="5" t="n"/>
      <c r="E41" s="5" t="n"/>
      <c r="F41" s="5" t="n"/>
      <c r="G41" s="5" t="n"/>
      <c r="H41" s="5" t="n"/>
    </row>
    <row r="42">
      <c r="B42" s="18" t="n"/>
      <c r="C42" s="18" t="n"/>
      <c r="D42" s="19" t="inlineStr">
        <is>
          <t>Active</t>
        </is>
      </c>
      <c r="E42" s="18" t="n"/>
      <c r="F42" s="19" t="inlineStr">
        <is>
          <t>Bear</t>
        </is>
      </c>
      <c r="G42" s="19" t="inlineStr">
        <is>
          <t>Base</t>
        </is>
      </c>
      <c r="H42" s="19" t="inlineStr">
        <is>
          <t>Bull</t>
        </is>
      </c>
    </row>
    <row r="43">
      <c r="B43" s="10" t="inlineStr">
        <is>
          <t>Probability</t>
        </is>
      </c>
      <c r="C43" s="7" t="inlineStr">
        <is>
          <t>%</t>
        </is>
      </c>
      <c r="D43" s="36">
        <f>CHOOSE($D$6,F43,G43,H43)</f>
        <v/>
      </c>
      <c r="F43" s="51" t="n">
        <v>0.25</v>
      </c>
      <c r="G43" s="51" t="n">
        <v>0.5</v>
      </c>
      <c r="H43" s="51" t="n">
        <v>0.25</v>
      </c>
      <c r="I43" s="41" t="inlineStr">
        <is>
          <t>judgment</t>
        </is>
      </c>
    </row>
    <row r="44">
      <c r="B44" s="10" t="inlineStr">
        <is>
          <t>Terminal growth</t>
        </is>
      </c>
      <c r="C44" s="7" t="inlineStr">
        <is>
          <t>%</t>
        </is>
      </c>
      <c r="D44" s="50">
        <f>CHOOSE($D$6,F44,G44,H44)</f>
        <v/>
      </c>
      <c r="F44" s="48" t="n">
        <v>0.025</v>
      </c>
      <c r="G44" s="48" t="n">
        <v>0.03</v>
      </c>
      <c r="H44" s="48" t="n">
        <v>0.035</v>
      </c>
      <c r="I44" s="41" t="inlineStr">
        <is>
          <t>judgment</t>
        </is>
      </c>
    </row>
    <row r="45">
      <c r="B45" s="10" t="inlineStr">
        <is>
          <t>Exit P/E (NTM) at both exit dates</t>
        </is>
      </c>
      <c r="C45" s="7" t="inlineStr">
        <is>
          <t>x</t>
        </is>
      </c>
      <c r="D45" s="55">
        <f>CHOOSE($D$6,F45,G45,H45)</f>
        <v/>
      </c>
      <c r="F45" s="17" t="n">
        <v>14</v>
      </c>
      <c r="G45" s="17" t="n">
        <v>18</v>
      </c>
      <c r="H45" s="17" t="n">
        <v>22</v>
      </c>
      <c r="I45" s="41" t="inlineStr">
        <is>
          <t>today 17.6x FY27E Street EPS, 21.9x FY26E ex the fee; Earnings Desk 10-year trailing median 55x (growth was twice today's)</t>
        </is>
      </c>
    </row>
    <row r="47">
      <c r="B47" s="4" t="inlineStr">
        <is>
          <t>FY2025 REVENUE BY REGION  (TRUE-UP SURFACE)</t>
        </is>
      </c>
      <c r="C47" s="5" t="n"/>
      <c r="D47" s="5" t="n"/>
      <c r="E47" s="5" t="n"/>
    </row>
    <row r="48">
      <c r="B48" s="10" t="inlineStr">
        <is>
          <t>United States and Canada</t>
        </is>
      </c>
      <c r="C48" s="7" t="inlineStr">
        <is>
          <t>$mm</t>
        </is>
      </c>
      <c r="D48" s="45" t="n">
        <v>19957</v>
      </c>
    </row>
    <row r="49">
      <c r="B49" s="10" t="inlineStr">
        <is>
          <t>Europe, Middle East and Africa</t>
        </is>
      </c>
      <c r="C49" s="7" t="inlineStr">
        <is>
          <t>$mm</t>
        </is>
      </c>
      <c r="D49" s="45" t="n">
        <v>14515</v>
      </c>
    </row>
    <row r="50">
      <c r="B50" s="10" t="inlineStr">
        <is>
          <t>Latin America</t>
        </is>
      </c>
      <c r="C50" s="7" t="inlineStr">
        <is>
          <t>$mm</t>
        </is>
      </c>
      <c r="D50" s="45" t="n">
        <v>5358</v>
      </c>
    </row>
    <row r="51">
      <c r="B51" s="10" t="inlineStr">
        <is>
          <t>Asia-Pacific</t>
        </is>
      </c>
      <c r="C51" s="7" t="inlineStr">
        <is>
          <t>$mm</t>
        </is>
      </c>
      <c r="D51" s="45" t="n">
        <v>5354</v>
      </c>
    </row>
    <row r="52">
      <c r="B52" s="6" t="inlineStr">
        <is>
          <t>Total revenue</t>
        </is>
      </c>
      <c r="C52" s="7" t="inlineStr">
        <is>
          <t>$mm</t>
        </is>
      </c>
      <c r="D52" s="56">
        <f>SUM(D48:D51)</f>
        <v/>
      </c>
      <c r="E52" s="41" t="inlineStr">
        <is>
          <t>ties to reported $45,183mm</t>
        </is>
      </c>
    </row>
    <row r="54">
      <c r="B54" s="4" t="inlineStr">
        <is>
          <t>SHARED FORECAST VECTORS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B55" s="26" t="inlineStr">
        <is>
          <t>Fiscal year (calendar)</t>
        </is>
      </c>
      <c r="C55" s="18" t="n"/>
      <c r="D55" s="18" t="n"/>
      <c r="E55" s="18" t="n"/>
      <c r="F55" s="27" t="n">
        <v>2023</v>
      </c>
      <c r="G55" s="27" t="n">
        <v>2024</v>
      </c>
      <c r="H55" s="27" t="n">
        <v>2025</v>
      </c>
      <c r="I55" s="28" t="n">
        <v>2026</v>
      </c>
      <c r="J55" s="28" t="n">
        <v>2027</v>
      </c>
      <c r="K55" s="28" t="n">
        <v>2028</v>
      </c>
      <c r="L55" s="28" t="n">
        <v>2029</v>
      </c>
      <c r="M55" s="28" t="n">
        <v>2030</v>
      </c>
      <c r="N55" s="28" t="n">
        <v>2031</v>
      </c>
      <c r="O55" s="28" t="n">
        <v>2032</v>
      </c>
      <c r="P55" s="28" t="n">
        <v>2033</v>
      </c>
      <c r="Q55" s="28" t="n">
        <v>2034</v>
      </c>
      <c r="R55" s="28" t="n">
        <v>2035</v>
      </c>
    </row>
    <row r="56">
      <c r="B56" s="10" t="inlineStr">
        <is>
          <t>Cash content spend / content amortization</t>
        </is>
      </c>
      <c r="C56" s="7" t="inlineStr">
        <is>
          <t>x</t>
        </is>
      </c>
      <c r="D56" s="41" t="inlineStr">
        <is>
          <t>FY26 guide ~1.1x; FY25 1.04x, FY24 1.06x</t>
        </is>
      </c>
      <c r="I56" s="57" t="n">
        <v>1.1</v>
      </c>
      <c r="J56" s="57" t="n">
        <v>1.1</v>
      </c>
      <c r="K56" s="57" t="n">
        <v>1.08</v>
      </c>
      <c r="L56" s="57" t="n">
        <v>1.08</v>
      </c>
      <c r="M56" s="57" t="n">
        <v>1.06</v>
      </c>
      <c r="N56" s="57" t="n">
        <v>1.06</v>
      </c>
      <c r="O56" s="57" t="n">
        <v>1.05</v>
      </c>
      <c r="P56" s="57" t="n">
        <v>1.05</v>
      </c>
      <c r="Q56" s="57" t="n">
        <v>1.05</v>
      </c>
      <c r="R56" s="57" t="n">
        <v>1.05</v>
      </c>
    </row>
    <row r="57">
      <c r="B57" s="10" t="inlineStr">
        <is>
          <t>Depreciation and amortization ex content, % of revenue</t>
        </is>
      </c>
      <c r="C57" s="7" t="inlineStr">
        <is>
          <t>%</t>
        </is>
      </c>
      <c r="D57" s="41" t="inlineStr">
        <is>
          <t>FY25 0.74%</t>
        </is>
      </c>
      <c r="I57" s="48" t="n">
        <v>0.0075</v>
      </c>
      <c r="J57" s="48" t="n">
        <v>0.0075</v>
      </c>
      <c r="K57" s="48" t="n">
        <v>0.0075</v>
      </c>
      <c r="L57" s="48" t="n">
        <v>0.0075</v>
      </c>
      <c r="M57" s="48" t="n">
        <v>0.0075</v>
      </c>
      <c r="N57" s="48" t="n">
        <v>0.0075</v>
      </c>
      <c r="O57" s="48" t="n">
        <v>0.0075</v>
      </c>
      <c r="P57" s="48" t="n">
        <v>0.0075</v>
      </c>
      <c r="Q57" s="48" t="n">
        <v>0.0075</v>
      </c>
      <c r="R57" s="48" t="n">
        <v>0.0075</v>
      </c>
    </row>
    <row r="58">
      <c r="B58" s="10" t="inlineStr">
        <is>
          <t>Stock-based compensation, % of revenue</t>
        </is>
      </c>
      <c r="C58" s="7" t="inlineStr">
        <is>
          <t>%</t>
        </is>
      </c>
      <c r="D58" s="41" t="inlineStr">
        <is>
          <t>9M26 1.08%; FY25 0.82%</t>
        </is>
      </c>
      <c r="I58" s="48" t="n">
        <v>0.0105</v>
      </c>
      <c r="J58" s="48" t="n">
        <v>0.01</v>
      </c>
      <c r="K58" s="48" t="n">
        <v>0.0095</v>
      </c>
      <c r="L58" s="48" t="n">
        <v>0.008999999999999999</v>
      </c>
      <c r="M58" s="48" t="n">
        <v>0.008999999999999999</v>
      </c>
      <c r="N58" s="48" t="n">
        <v>0.008999999999999999</v>
      </c>
      <c r="O58" s="48" t="n">
        <v>0.008999999999999999</v>
      </c>
      <c r="P58" s="48" t="n">
        <v>0.008999999999999999</v>
      </c>
      <c r="Q58" s="48" t="n">
        <v>0.008999999999999999</v>
      </c>
      <c r="R58" s="48" t="n">
        <v>0.008999999999999999</v>
      </c>
    </row>
    <row r="59">
      <c r="B59" s="10" t="inlineStr">
        <is>
          <t>Capital expenditures, % of revenue</t>
        </is>
      </c>
      <c r="C59" s="7" t="inlineStr">
        <is>
          <t>%</t>
        </is>
      </c>
      <c r="D59" s="41" t="inlineStr">
        <is>
          <t>9M26 1.84%; FY25 1.52%</t>
        </is>
      </c>
      <c r="I59" s="48" t="n">
        <v>0.026</v>
      </c>
      <c r="J59" s="48" t="n">
        <v>0.0165</v>
      </c>
      <c r="K59" s="48" t="n">
        <v>0.016</v>
      </c>
      <c r="L59" s="48" t="n">
        <v>0.0155</v>
      </c>
      <c r="M59" s="48" t="n">
        <v>0.015</v>
      </c>
      <c r="N59" s="48" t="n">
        <v>0.015</v>
      </c>
      <c r="O59" s="48" t="n">
        <v>0.015</v>
      </c>
      <c r="P59" s="48" t="n">
        <v>0.015</v>
      </c>
      <c r="Q59" s="48" t="n">
        <v>0.015</v>
      </c>
      <c r="R59" s="48" t="n">
        <v>0.015</v>
      </c>
    </row>
    <row r="60">
      <c r="B60" s="10" t="inlineStr">
        <is>
          <t>Other operating cash items, % of revenue</t>
        </is>
      </c>
      <c r="C60" s="7" t="inlineStr">
        <is>
          <t>%</t>
        </is>
      </c>
      <c r="D60" s="41" t="inlineStr">
        <is>
          <t>content liabilities, deferred revenue, other: -1.4% to -2.6% FY23-25</t>
        </is>
      </c>
      <c r="I60" s="48" t="n">
        <v>-0.02</v>
      </c>
      <c r="J60" s="48" t="n">
        <v>-0.015</v>
      </c>
      <c r="K60" s="48" t="n">
        <v>-0.015</v>
      </c>
      <c r="L60" s="48" t="n">
        <v>-0.015</v>
      </c>
      <c r="M60" s="48" t="n">
        <v>-0.015</v>
      </c>
      <c r="N60" s="48" t="n">
        <v>-0.015</v>
      </c>
      <c r="O60" s="48" t="n">
        <v>-0.015</v>
      </c>
      <c r="P60" s="48" t="n">
        <v>-0.015</v>
      </c>
      <c r="Q60" s="48" t="n">
        <v>-0.015</v>
      </c>
      <c r="R60" s="48" t="n">
        <v>-0.015</v>
      </c>
    </row>
    <row r="61">
      <c r="B61" s="10" t="inlineStr">
        <is>
          <t>Effective tax rate</t>
        </is>
      </c>
      <c r="C61" s="7" t="inlineStr">
        <is>
          <t>%</t>
        </is>
      </c>
      <c r="D61" s="41" t="inlineStr">
        <is>
          <t>9M26 17.3%; FY25 13.7%</t>
        </is>
      </c>
      <c r="I61" s="51" t="n">
        <v>0.172</v>
      </c>
      <c r="J61" s="51" t="n">
        <v>0.165</v>
      </c>
      <c r="K61" s="51" t="n">
        <v>0.165</v>
      </c>
      <c r="L61" s="51" t="n">
        <v>0.165</v>
      </c>
      <c r="M61" s="51" t="n">
        <v>0.165</v>
      </c>
      <c r="N61" s="51" t="n">
        <v>0.165</v>
      </c>
      <c r="O61" s="51" t="n">
        <v>0.165</v>
      </c>
      <c r="P61" s="51" t="n">
        <v>0.165</v>
      </c>
      <c r="Q61" s="51" t="n">
        <v>0.165</v>
      </c>
      <c r="R61" s="51" t="n">
        <v>0.165</v>
      </c>
    </row>
    <row r="62">
      <c r="B62" s="10" t="inlineStr">
        <is>
          <t>Interest on gross debt</t>
        </is>
      </c>
      <c r="C62" s="7" t="inlineStr">
        <is>
          <t>%</t>
        </is>
      </c>
      <c r="D62" s="41" t="inlineStr">
        <is>
          <t>FY25 $777mm on ~$15B</t>
        </is>
      </c>
      <c r="I62" s="48" t="n">
        <v>0.053</v>
      </c>
      <c r="J62" s="48" t="n">
        <v>0.053</v>
      </c>
      <c r="K62" s="48" t="n">
        <v>0.053</v>
      </c>
      <c r="L62" s="48" t="n">
        <v>0.053</v>
      </c>
      <c r="M62" s="48" t="n">
        <v>0.053</v>
      </c>
      <c r="N62" s="48" t="n">
        <v>0.053</v>
      </c>
      <c r="O62" s="48" t="n">
        <v>0.053</v>
      </c>
      <c r="P62" s="48" t="n">
        <v>0.053</v>
      </c>
      <c r="Q62" s="48" t="n">
        <v>0.053</v>
      </c>
      <c r="R62" s="48" t="n">
        <v>0.053</v>
      </c>
    </row>
    <row r="63">
      <c r="B63" s="10" t="inlineStr">
        <is>
          <t>Interest income on beginning cash</t>
        </is>
      </c>
      <c r="C63" s="7" t="inlineStr">
        <is>
          <t>%</t>
        </is>
      </c>
      <c r="D63" s="41" t="inlineStr">
        <is>
          <t>net of FX remeasurement noise</t>
        </is>
      </c>
      <c r="I63" s="48" t="n">
        <v>0.025</v>
      </c>
      <c r="J63" s="48" t="n">
        <v>0.025</v>
      </c>
      <c r="K63" s="48" t="n">
        <v>0.025</v>
      </c>
      <c r="L63" s="48" t="n">
        <v>0.025</v>
      </c>
      <c r="M63" s="48" t="n">
        <v>0.025</v>
      </c>
      <c r="N63" s="48" t="n">
        <v>0.025</v>
      </c>
      <c r="O63" s="48" t="n">
        <v>0.025</v>
      </c>
      <c r="P63" s="48" t="n">
        <v>0.025</v>
      </c>
      <c r="Q63" s="48" t="n">
        <v>0.025</v>
      </c>
      <c r="R63" s="48" t="n">
        <v>0.025</v>
      </c>
    </row>
    <row r="64">
      <c r="B64" s="10" t="inlineStr">
        <is>
          <t>One-off items in other income (pre-tax)</t>
        </is>
      </c>
      <c r="C64" s="7" t="inlineStr">
        <is>
          <t>$mm</t>
        </is>
      </c>
      <c r="D64" s="41" t="inlineStr">
        <is>
          <t>2026: the $2.8B WBD termination fee</t>
        </is>
      </c>
      <c r="I64" s="45" t="n">
        <v>2800</v>
      </c>
      <c r="J64" s="45" t="n">
        <v>0</v>
      </c>
      <c r="K64" s="45" t="n">
        <v>0</v>
      </c>
      <c r="L64" s="45" t="n">
        <v>0</v>
      </c>
      <c r="M64" s="45" t="n">
        <v>0</v>
      </c>
      <c r="N64" s="45" t="n">
        <v>0</v>
      </c>
      <c r="O64" s="45" t="n">
        <v>0</v>
      </c>
      <c r="P64" s="45" t="n">
        <v>0</v>
      </c>
      <c r="Q64" s="45" t="n">
        <v>0</v>
      </c>
      <c r="R64" s="45" t="n">
        <v>0</v>
      </c>
    </row>
    <row r="65">
      <c r="B65" s="10" t="inlineStr">
        <is>
          <t>Gross debt, end of year</t>
        </is>
      </c>
      <c r="C65" s="7" t="inlineStr">
        <is>
          <t>$mm</t>
        </is>
      </c>
      <c r="D65" s="41" t="inlineStr">
        <is>
          <t>maturities refinanced; $1B Nov-26 funded by the Aug-26 issue</t>
        </is>
      </c>
      <c r="I65" s="45" t="n">
        <v>15337</v>
      </c>
      <c r="J65" s="45" t="n">
        <v>15337</v>
      </c>
      <c r="K65" s="45" t="n">
        <v>15337</v>
      </c>
      <c r="L65" s="45" t="n">
        <v>15337</v>
      </c>
      <c r="M65" s="45" t="n">
        <v>15337</v>
      </c>
      <c r="N65" s="45" t="n">
        <v>15337</v>
      </c>
      <c r="O65" s="45" t="n">
        <v>15337</v>
      </c>
      <c r="P65" s="45" t="n">
        <v>15337</v>
      </c>
      <c r="Q65" s="45" t="n">
        <v>15337</v>
      </c>
      <c r="R65" s="45" t="n">
        <v>15337</v>
      </c>
    </row>
    <row r="67">
      <c r="B67" s="4" t="inlineStr">
        <is>
          <t>SCENARIO VECTORS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B68" s="26" t="inlineStr">
        <is>
          <t>Fiscal year (calendar)</t>
        </is>
      </c>
      <c r="C68" s="18" t="n"/>
      <c r="D68" s="18" t="n"/>
      <c r="E68" s="18" t="n"/>
      <c r="F68" s="27" t="n">
        <v>2023</v>
      </c>
      <c r="G68" s="27" t="n">
        <v>2024</v>
      </c>
      <c r="H68" s="27" t="n">
        <v>2025</v>
      </c>
      <c r="I68" s="28" t="n">
        <v>2026</v>
      </c>
      <c r="J68" s="28" t="n">
        <v>2027</v>
      </c>
      <c r="K68" s="28" t="n">
        <v>2028</v>
      </c>
      <c r="L68" s="28" t="n">
        <v>2029</v>
      </c>
      <c r="M68" s="28" t="n">
        <v>2030</v>
      </c>
      <c r="N68" s="28" t="n">
        <v>2031</v>
      </c>
      <c r="O68" s="28" t="n">
        <v>2032</v>
      </c>
      <c r="P68" s="28" t="n">
        <v>2033</v>
      </c>
      <c r="Q68" s="28" t="n">
        <v>2034</v>
      </c>
      <c r="R68" s="28" t="n">
        <v>2035</v>
      </c>
    </row>
    <row r="69">
      <c r="B69" s="6" t="inlineStr">
        <is>
          <t>United States and Canada revenue growth</t>
        </is>
      </c>
      <c r="C69" s="7" t="inlineStr">
        <is>
          <t>%</t>
        </is>
      </c>
      <c r="D69" s="58" t="inlineStr">
        <is>
          <t>Bear</t>
        </is>
      </c>
      <c r="E69" s="41" t="inlineStr">
        <is>
          <t>FY25 +15.0% / +17.2% / +10.7% / +21.3%; 9M26 +11.5% / +14.1% / +18.9% / +15.8%</t>
        </is>
      </c>
      <c r="I69" s="51" t="n">
        <v>0.11</v>
      </c>
      <c r="J69" s="51" t="n">
        <v>0.06</v>
      </c>
      <c r="K69" s="51" t="n">
        <v>0.045</v>
      </c>
      <c r="L69" s="51" t="n">
        <v>0.04</v>
      </c>
      <c r="M69" s="51" t="n">
        <v>0.035</v>
      </c>
      <c r="N69" s="51" t="n">
        <v>0.03</v>
      </c>
      <c r="O69" s="51" t="n">
        <v>0.03</v>
      </c>
      <c r="P69" s="51" t="n">
        <v>0.025</v>
      </c>
      <c r="Q69" s="51" t="n">
        <v>0.025</v>
      </c>
      <c r="R69" s="51" t="n">
        <v>0.025</v>
      </c>
    </row>
    <row r="70">
      <c r="D70" s="58" t="inlineStr">
        <is>
          <t>Base</t>
        </is>
      </c>
      <c r="I70" s="51" t="n">
        <v>0.112</v>
      </c>
      <c r="J70" s="51" t="n">
        <v>0.09</v>
      </c>
      <c r="K70" s="51" t="n">
        <v>0.08</v>
      </c>
      <c r="L70" s="51" t="n">
        <v>0.07000000000000001</v>
      </c>
      <c r="M70" s="51" t="n">
        <v>0.065</v>
      </c>
      <c r="N70" s="51" t="n">
        <v>0.06</v>
      </c>
      <c r="O70" s="51" t="n">
        <v>0.055</v>
      </c>
      <c r="P70" s="51" t="n">
        <v>0.05</v>
      </c>
      <c r="Q70" s="51" t="n">
        <v>0.045</v>
      </c>
      <c r="R70" s="51" t="n">
        <v>0.04</v>
      </c>
    </row>
    <row r="71">
      <c r="D71" s="58" t="inlineStr">
        <is>
          <t>Bull</t>
        </is>
      </c>
      <c r="I71" s="51" t="n">
        <v>0.114</v>
      </c>
      <c r="J71" s="51" t="n">
        <v>0.11</v>
      </c>
      <c r="K71" s="51" t="n">
        <v>0.1</v>
      </c>
      <c r="L71" s="51" t="n">
        <v>0.09</v>
      </c>
      <c r="M71" s="51" t="n">
        <v>0.08</v>
      </c>
      <c r="N71" s="51" t="n">
        <v>0.07000000000000001</v>
      </c>
      <c r="O71" s="51" t="n">
        <v>0.065</v>
      </c>
      <c r="P71" s="51" t="n">
        <v>0.06</v>
      </c>
      <c r="Q71" s="51" t="n">
        <v>0.055</v>
      </c>
      <c r="R71" s="51" t="n">
        <v>0.05</v>
      </c>
    </row>
    <row r="72">
      <c r="B72" s="6" t="inlineStr">
        <is>
          <t>Europe, Middle East and Africa revenue growth</t>
        </is>
      </c>
      <c r="C72" s="7" t="inlineStr">
        <is>
          <t>%</t>
        </is>
      </c>
      <c r="D72" s="58" t="inlineStr">
        <is>
          <t>Bear</t>
        </is>
      </c>
      <c r="I72" s="51" t="n">
        <v>0.132</v>
      </c>
      <c r="J72" s="51" t="n">
        <v>0.08</v>
      </c>
      <c r="K72" s="51" t="n">
        <v>0.065</v>
      </c>
      <c r="L72" s="51" t="n">
        <v>0.055</v>
      </c>
      <c r="M72" s="51" t="n">
        <v>0.05</v>
      </c>
      <c r="N72" s="51" t="n">
        <v>0.04</v>
      </c>
      <c r="O72" s="51" t="n">
        <v>0.04</v>
      </c>
      <c r="P72" s="51" t="n">
        <v>0.035</v>
      </c>
      <c r="Q72" s="51" t="n">
        <v>0.035</v>
      </c>
      <c r="R72" s="51" t="n">
        <v>0.035</v>
      </c>
    </row>
    <row r="73">
      <c r="D73" s="58" t="inlineStr">
        <is>
          <t>Base</t>
        </is>
      </c>
      <c r="I73" s="51" t="n">
        <v>0.135</v>
      </c>
      <c r="J73" s="51" t="n">
        <v>0.115</v>
      </c>
      <c r="K73" s="51" t="n">
        <v>0.105</v>
      </c>
      <c r="L73" s="51" t="n">
        <v>0.095</v>
      </c>
      <c r="M73" s="51" t="n">
        <v>0.08500000000000001</v>
      </c>
      <c r="N73" s="51" t="n">
        <v>0.08</v>
      </c>
      <c r="O73" s="51" t="n">
        <v>0.07000000000000001</v>
      </c>
      <c r="P73" s="51" t="n">
        <v>0.065</v>
      </c>
      <c r="Q73" s="51" t="n">
        <v>0.06</v>
      </c>
      <c r="R73" s="51" t="n">
        <v>0.055</v>
      </c>
    </row>
    <row r="74">
      <c r="D74" s="58" t="inlineStr">
        <is>
          <t>Bull</t>
        </is>
      </c>
      <c r="I74" s="51" t="n">
        <v>0.138</v>
      </c>
      <c r="J74" s="51" t="n">
        <v>0.135</v>
      </c>
      <c r="K74" s="51" t="n">
        <v>0.125</v>
      </c>
      <c r="L74" s="51" t="n">
        <v>0.115</v>
      </c>
      <c r="M74" s="51" t="n">
        <v>0.105</v>
      </c>
      <c r="N74" s="51" t="n">
        <v>0.095</v>
      </c>
      <c r="O74" s="51" t="n">
        <v>0.08500000000000001</v>
      </c>
      <c r="P74" s="51" t="n">
        <v>0.075</v>
      </c>
      <c r="Q74" s="51" t="n">
        <v>0.07000000000000001</v>
      </c>
      <c r="R74" s="51" t="n">
        <v>0.065</v>
      </c>
    </row>
    <row r="75">
      <c r="B75" s="6" t="inlineStr">
        <is>
          <t>Latin America revenue growth</t>
        </is>
      </c>
      <c r="C75" s="7" t="inlineStr">
        <is>
          <t>%</t>
        </is>
      </c>
      <c r="D75" s="58" t="inlineStr">
        <is>
          <t>Bear</t>
        </is>
      </c>
      <c r="I75" s="51" t="n">
        <v>0.17</v>
      </c>
      <c r="J75" s="51" t="n">
        <v>0.09</v>
      </c>
      <c r="K75" s="51" t="n">
        <v>0.075</v>
      </c>
      <c r="L75" s="51" t="n">
        <v>0.065</v>
      </c>
      <c r="M75" s="51" t="n">
        <v>0.06</v>
      </c>
      <c r="N75" s="51" t="n">
        <v>0.05</v>
      </c>
      <c r="O75" s="51" t="n">
        <v>0.05</v>
      </c>
      <c r="P75" s="51" t="n">
        <v>0.045</v>
      </c>
      <c r="Q75" s="51" t="n">
        <v>0.04</v>
      </c>
      <c r="R75" s="51" t="n">
        <v>0.04</v>
      </c>
    </row>
    <row r="76">
      <c r="D76" s="58" t="inlineStr">
        <is>
          <t>Base</t>
        </is>
      </c>
      <c r="I76" s="51" t="n">
        <v>0.175</v>
      </c>
      <c r="J76" s="51" t="n">
        <v>0.13</v>
      </c>
      <c r="K76" s="51" t="n">
        <v>0.12</v>
      </c>
      <c r="L76" s="51" t="n">
        <v>0.11</v>
      </c>
      <c r="M76" s="51" t="n">
        <v>0.1</v>
      </c>
      <c r="N76" s="51" t="n">
        <v>0.09</v>
      </c>
      <c r="O76" s="51" t="n">
        <v>0.08</v>
      </c>
      <c r="P76" s="51" t="n">
        <v>0.07000000000000001</v>
      </c>
      <c r="Q76" s="51" t="n">
        <v>0.065</v>
      </c>
      <c r="R76" s="51" t="n">
        <v>0.06</v>
      </c>
    </row>
    <row r="77">
      <c r="D77" s="58" t="inlineStr">
        <is>
          <t>Bull</t>
        </is>
      </c>
      <c r="I77" s="51" t="n">
        <v>0.18</v>
      </c>
      <c r="J77" s="51" t="n">
        <v>0.15</v>
      </c>
      <c r="K77" s="51" t="n">
        <v>0.14</v>
      </c>
      <c r="L77" s="51" t="n">
        <v>0.13</v>
      </c>
      <c r="M77" s="51" t="n">
        <v>0.12</v>
      </c>
      <c r="N77" s="51" t="n">
        <v>0.11</v>
      </c>
      <c r="O77" s="51" t="n">
        <v>0.1</v>
      </c>
      <c r="P77" s="51" t="n">
        <v>0.09</v>
      </c>
      <c r="Q77" s="51" t="n">
        <v>0.08</v>
      </c>
      <c r="R77" s="51" t="n">
        <v>0.07000000000000001</v>
      </c>
    </row>
    <row r="78">
      <c r="B78" s="6" t="inlineStr">
        <is>
          <t>Asia-Pacific revenue growth</t>
        </is>
      </c>
      <c r="C78" s="7" t="inlineStr">
        <is>
          <t>%</t>
        </is>
      </c>
      <c r="D78" s="58" t="inlineStr">
        <is>
          <t>Bear</t>
        </is>
      </c>
      <c r="I78" s="51" t="n">
        <v>0.145</v>
      </c>
      <c r="J78" s="51" t="n">
        <v>0.09</v>
      </c>
      <c r="K78" s="51" t="n">
        <v>0.075</v>
      </c>
      <c r="L78" s="51" t="n">
        <v>0.065</v>
      </c>
      <c r="M78" s="51" t="n">
        <v>0.06</v>
      </c>
      <c r="N78" s="51" t="n">
        <v>0.05</v>
      </c>
      <c r="O78" s="51" t="n">
        <v>0.05</v>
      </c>
      <c r="P78" s="51" t="n">
        <v>0.045</v>
      </c>
      <c r="Q78" s="51" t="n">
        <v>0.04</v>
      </c>
      <c r="R78" s="51" t="n">
        <v>0.04</v>
      </c>
    </row>
    <row r="79">
      <c r="D79" s="58" t="inlineStr">
        <is>
          <t>Base</t>
        </is>
      </c>
      <c r="I79" s="51" t="n">
        <v>0.15</v>
      </c>
      <c r="J79" s="51" t="n">
        <v>0.13</v>
      </c>
      <c r="K79" s="51" t="n">
        <v>0.12</v>
      </c>
      <c r="L79" s="51" t="n">
        <v>0.11</v>
      </c>
      <c r="M79" s="51" t="n">
        <v>0.1</v>
      </c>
      <c r="N79" s="51" t="n">
        <v>0.09</v>
      </c>
      <c r="O79" s="51" t="n">
        <v>0.08</v>
      </c>
      <c r="P79" s="51" t="n">
        <v>0.07000000000000001</v>
      </c>
      <c r="Q79" s="51" t="n">
        <v>0.065</v>
      </c>
      <c r="R79" s="51" t="n">
        <v>0.06</v>
      </c>
    </row>
    <row r="80">
      <c r="D80" s="58" t="inlineStr">
        <is>
          <t>Bull</t>
        </is>
      </c>
      <c r="I80" s="51" t="n">
        <v>0.155</v>
      </c>
      <c r="J80" s="51" t="n">
        <v>0.15</v>
      </c>
      <c r="K80" s="51" t="n">
        <v>0.14</v>
      </c>
      <c r="L80" s="51" t="n">
        <v>0.13</v>
      </c>
      <c r="M80" s="51" t="n">
        <v>0.12</v>
      </c>
      <c r="N80" s="51" t="n">
        <v>0.11</v>
      </c>
      <c r="O80" s="51" t="n">
        <v>0.1</v>
      </c>
      <c r="P80" s="51" t="n">
        <v>0.09</v>
      </c>
      <c r="Q80" s="51" t="n">
        <v>0.08</v>
      </c>
      <c r="R80" s="51" t="n">
        <v>0.07000000000000001</v>
      </c>
    </row>
    <row r="81">
      <c r="B81" s="6" t="inlineStr">
        <is>
          <t>Advertising revenue (memo, inside the regional lines)</t>
        </is>
      </c>
      <c r="C81" s="7" t="inlineStr">
        <is>
          <t>$mm</t>
        </is>
      </c>
      <c r="D81" s="58" t="inlineStr">
        <is>
          <t>Bear</t>
        </is>
      </c>
      <c r="E81" s="41" t="inlineStr">
        <is>
          <t>FY25 ~1,500; FY26 guide ~2,700 (cut from ~3,000 on 2026-10-20)</t>
        </is>
      </c>
      <c r="I81" s="45" t="n">
        <v>2600</v>
      </c>
      <c r="J81" s="45" t="n">
        <v>3300</v>
      </c>
      <c r="K81" s="45" t="n">
        <v>4000</v>
      </c>
      <c r="L81" s="45" t="n">
        <v>4600</v>
      </c>
      <c r="M81" s="45" t="n">
        <v>5100</v>
      </c>
      <c r="N81" s="45" t="n">
        <v>5500</v>
      </c>
      <c r="O81" s="45" t="n">
        <v>5900</v>
      </c>
      <c r="P81" s="45" t="n">
        <v>6200</v>
      </c>
      <c r="Q81" s="45" t="n">
        <v>6500</v>
      </c>
      <c r="R81" s="45" t="n">
        <v>6800</v>
      </c>
    </row>
    <row r="82">
      <c r="D82" s="58" t="inlineStr">
        <is>
          <t>Base</t>
        </is>
      </c>
      <c r="I82" s="45" t="n">
        <v>2700</v>
      </c>
      <c r="J82" s="45" t="n">
        <v>3900</v>
      </c>
      <c r="K82" s="45" t="n">
        <v>5100</v>
      </c>
      <c r="L82" s="45" t="n">
        <v>6300</v>
      </c>
      <c r="M82" s="45" t="n">
        <v>7400</v>
      </c>
      <c r="N82" s="45" t="n">
        <v>8400</v>
      </c>
      <c r="O82" s="45" t="n">
        <v>9300</v>
      </c>
      <c r="P82" s="45" t="n">
        <v>10100</v>
      </c>
      <c r="Q82" s="45" t="n">
        <v>10800</v>
      </c>
      <c r="R82" s="45" t="n">
        <v>11500</v>
      </c>
    </row>
    <row r="83">
      <c r="D83" s="58" t="inlineStr">
        <is>
          <t>Bull</t>
        </is>
      </c>
      <c r="I83" s="45" t="n">
        <v>2750</v>
      </c>
      <c r="J83" s="45" t="n">
        <v>4300</v>
      </c>
      <c r="K83" s="45" t="n">
        <v>6000</v>
      </c>
      <c r="L83" s="45" t="n">
        <v>7800</v>
      </c>
      <c r="M83" s="45" t="n">
        <v>9500</v>
      </c>
      <c r="N83" s="45" t="n">
        <v>11000</v>
      </c>
      <c r="O83" s="45" t="n">
        <v>12400</v>
      </c>
      <c r="P83" s="45" t="n">
        <v>13600</v>
      </c>
      <c r="Q83" s="45" t="n">
        <v>14700</v>
      </c>
      <c r="R83" s="45" t="n">
        <v>15700</v>
      </c>
    </row>
    <row r="84">
      <c r="B84" s="6" t="inlineStr">
        <is>
          <t>Content amortization growth</t>
        </is>
      </c>
      <c r="C84" s="7" t="inlineStr">
        <is>
          <t>%</t>
        </is>
      </c>
      <c r="D84" s="58" t="inlineStr">
        <is>
          <t>Bear</t>
        </is>
      </c>
      <c r="E84" s="41" t="inlineStr">
        <is>
          <t>FY26 guide ~+10%; FY25 +7.3%</t>
        </is>
      </c>
      <c r="I84" s="51" t="n">
        <v>0.1</v>
      </c>
      <c r="J84" s="51" t="n">
        <v>0.09</v>
      </c>
      <c r="K84" s="51" t="n">
        <v>0.08</v>
      </c>
      <c r="L84" s="51" t="n">
        <v>0.07000000000000001</v>
      </c>
      <c r="M84" s="51" t="n">
        <v>0.06</v>
      </c>
      <c r="N84" s="51" t="n">
        <v>0.05</v>
      </c>
      <c r="O84" s="51" t="n">
        <v>0.045</v>
      </c>
      <c r="P84" s="51" t="n">
        <v>0.04</v>
      </c>
      <c r="Q84" s="51" t="n">
        <v>0.035</v>
      </c>
      <c r="R84" s="51" t="n">
        <v>0.03</v>
      </c>
    </row>
    <row r="85">
      <c r="D85" s="58" t="inlineStr">
        <is>
          <t>Base</t>
        </is>
      </c>
      <c r="I85" s="51" t="n">
        <v>0.1</v>
      </c>
      <c r="J85" s="51" t="n">
        <v>0.08500000000000001</v>
      </c>
      <c r="K85" s="51" t="n">
        <v>0.08</v>
      </c>
      <c r="L85" s="51" t="n">
        <v>0.075</v>
      </c>
      <c r="M85" s="51" t="n">
        <v>0.07000000000000001</v>
      </c>
      <c r="N85" s="51" t="n">
        <v>0.065</v>
      </c>
      <c r="O85" s="51" t="n">
        <v>0.06</v>
      </c>
      <c r="P85" s="51" t="n">
        <v>0.055</v>
      </c>
      <c r="Q85" s="51" t="n">
        <v>0.05</v>
      </c>
      <c r="R85" s="51" t="n">
        <v>0.045</v>
      </c>
    </row>
    <row r="86">
      <c r="D86" s="58" t="inlineStr">
        <is>
          <t>Bull</t>
        </is>
      </c>
      <c r="I86" s="51" t="n">
        <v>0.1</v>
      </c>
      <c r="J86" s="51" t="n">
        <v>0.08500000000000001</v>
      </c>
      <c r="K86" s="51" t="n">
        <v>0.08</v>
      </c>
      <c r="L86" s="51" t="n">
        <v>0.075</v>
      </c>
      <c r="M86" s="51" t="n">
        <v>0.07000000000000001</v>
      </c>
      <c r="N86" s="51" t="n">
        <v>0.065</v>
      </c>
      <c r="O86" s="51" t="n">
        <v>0.06</v>
      </c>
      <c r="P86" s="51" t="n">
        <v>0.055</v>
      </c>
      <c r="Q86" s="51" t="n">
        <v>0.05</v>
      </c>
      <c r="R86" s="51" t="n">
        <v>0.045</v>
      </c>
    </row>
    <row r="87">
      <c r="B87" s="6" t="inlineStr">
        <is>
          <t>Other cost of revenues, % of revenue</t>
        </is>
      </c>
      <c r="C87" s="7" t="inlineStr">
        <is>
          <t>%</t>
        </is>
      </c>
      <c r="D87" s="58" t="inlineStr">
        <is>
          <t>Bear</t>
        </is>
      </c>
      <c r="E87" s="41" t="inlineStr">
        <is>
          <t>cost of revenues less amortization: 9M26 13.9%, FY25 15.2%</t>
        </is>
      </c>
      <c r="I87" s="51" t="n">
        <v>0.143</v>
      </c>
      <c r="J87" s="51" t="n">
        <v>0.145</v>
      </c>
      <c r="K87" s="51" t="n">
        <v>0.147</v>
      </c>
      <c r="L87" s="51" t="n">
        <v>0.148</v>
      </c>
      <c r="M87" s="51" t="n">
        <v>0.149</v>
      </c>
      <c r="N87" s="51" t="n">
        <v>0.15</v>
      </c>
      <c r="O87" s="51" t="n">
        <v>0.15</v>
      </c>
      <c r="P87" s="51" t="n">
        <v>0.15</v>
      </c>
      <c r="Q87" s="51" t="n">
        <v>0.15</v>
      </c>
      <c r="R87" s="51" t="n">
        <v>0.15</v>
      </c>
    </row>
    <row r="88">
      <c r="D88" s="58" t="inlineStr">
        <is>
          <t>Base</t>
        </is>
      </c>
      <c r="I88" s="51" t="n">
        <v>0.142</v>
      </c>
      <c r="J88" s="51" t="n">
        <v>0.14</v>
      </c>
      <c r="K88" s="51" t="n">
        <v>0.139</v>
      </c>
      <c r="L88" s="51" t="n">
        <v>0.138</v>
      </c>
      <c r="M88" s="51" t="n">
        <v>0.137</v>
      </c>
      <c r="N88" s="51" t="n">
        <v>0.136</v>
      </c>
      <c r="O88" s="51" t="n">
        <v>0.135</v>
      </c>
      <c r="P88" s="51" t="n">
        <v>0.135</v>
      </c>
      <c r="Q88" s="51" t="n">
        <v>0.135</v>
      </c>
      <c r="R88" s="51" t="n">
        <v>0.135</v>
      </c>
    </row>
    <row r="89">
      <c r="D89" s="58" t="inlineStr">
        <is>
          <t>Bull</t>
        </is>
      </c>
      <c r="I89" s="51" t="n">
        <v>0.141</v>
      </c>
      <c r="J89" s="51" t="n">
        <v>0.138</v>
      </c>
      <c r="K89" s="51" t="n">
        <v>0.135</v>
      </c>
      <c r="L89" s="51" t="n">
        <v>0.133</v>
      </c>
      <c r="M89" s="51" t="n">
        <v>0.131</v>
      </c>
      <c r="N89" s="51" t="n">
        <v>0.13</v>
      </c>
      <c r="O89" s="51" t="n">
        <v>0.129</v>
      </c>
      <c r="P89" s="51" t="n">
        <v>0.128</v>
      </c>
      <c r="Q89" s="51" t="n">
        <v>0.128</v>
      </c>
      <c r="R89" s="51" t="n">
        <v>0.128</v>
      </c>
    </row>
    <row r="90">
      <c r="B90" s="6" t="inlineStr">
        <is>
          <t>Operating expenses (S&amp;M + T&amp;D + G&amp;A), % of revenue</t>
        </is>
      </c>
      <c r="C90" s="7" t="inlineStr">
        <is>
          <t>%</t>
        </is>
      </c>
      <c r="D90" s="58" t="inlineStr">
        <is>
          <t>Bear</t>
        </is>
      </c>
      <c r="E90" s="41" t="inlineStr">
        <is>
          <t>9M26 18.8%; FY25 19.0%; Q4 carries the headcount charge</t>
        </is>
      </c>
      <c r="I90" s="51" t="n">
        <v>0.191</v>
      </c>
      <c r="J90" s="51" t="n">
        <v>0.193</v>
      </c>
      <c r="K90" s="51" t="n">
        <v>0.193</v>
      </c>
      <c r="L90" s="51" t="n">
        <v>0.192</v>
      </c>
      <c r="M90" s="51" t="n">
        <v>0.191</v>
      </c>
      <c r="N90" s="51" t="n">
        <v>0.19</v>
      </c>
      <c r="O90" s="51" t="n">
        <v>0.19</v>
      </c>
      <c r="P90" s="51" t="n">
        <v>0.19</v>
      </c>
      <c r="Q90" s="51" t="n">
        <v>0.19</v>
      </c>
      <c r="R90" s="51" t="n">
        <v>0.19</v>
      </c>
    </row>
    <row r="91">
      <c r="D91" s="58" t="inlineStr">
        <is>
          <t>Base</t>
        </is>
      </c>
      <c r="I91" s="51" t="n">
        <v>0.19</v>
      </c>
      <c r="J91" s="51" t="n">
        <v>0.183</v>
      </c>
      <c r="K91" s="51" t="n">
        <v>0.178</v>
      </c>
      <c r="L91" s="51" t="n">
        <v>0.174</v>
      </c>
      <c r="M91" s="51" t="n">
        <v>0.17</v>
      </c>
      <c r="N91" s="51" t="n">
        <v>0.167</v>
      </c>
      <c r="O91" s="51" t="n">
        <v>0.164</v>
      </c>
      <c r="P91" s="51" t="n">
        <v>0.162</v>
      </c>
      <c r="Q91" s="51" t="n">
        <v>0.16</v>
      </c>
      <c r="R91" s="51" t="n">
        <v>0.16</v>
      </c>
    </row>
    <row r="92">
      <c r="D92" s="58" t="inlineStr">
        <is>
          <t>Bull</t>
        </is>
      </c>
      <c r="I92" s="51" t="n">
        <v>0.189</v>
      </c>
      <c r="J92" s="51" t="n">
        <v>0.18</v>
      </c>
      <c r="K92" s="51" t="n">
        <v>0.172</v>
      </c>
      <c r="L92" s="51" t="n">
        <v>0.166</v>
      </c>
      <c r="M92" s="51" t="n">
        <v>0.161</v>
      </c>
      <c r="N92" s="51" t="n">
        <v>0.157</v>
      </c>
      <c r="O92" s="51" t="n">
        <v>0.154</v>
      </c>
      <c r="P92" s="51" t="n">
        <v>0.152</v>
      </c>
      <c r="Q92" s="51" t="n">
        <v>0.15</v>
      </c>
      <c r="R92" s="51" t="n">
        <v>0.149</v>
      </c>
    </row>
    <row r="94">
      <c r="B94" s="4" t="inlineStr">
        <is>
          <t>GUIDANCE (2026-10-20) AND STREET</t>
        </is>
      </c>
      <c r="C94" s="5" t="n"/>
      <c r="D94" s="5" t="n"/>
      <c r="E94" s="5" t="n"/>
    </row>
    <row r="95">
      <c r="B95" s="10" t="inlineStr">
        <is>
          <t>FY26 revenue</t>
        </is>
      </c>
      <c r="C95" s="7" t="inlineStr">
        <is>
          <t>$mm</t>
        </is>
      </c>
      <c r="D95" s="45" t="n">
        <v>51100</v>
      </c>
      <c r="E95" s="41" t="inlineStr">
        <is>
          <t>+13% (+12% F/X neutral)</t>
        </is>
      </c>
    </row>
    <row r="96">
      <c r="B96" s="10" t="inlineStr">
        <is>
          <t>FY26 operating margin</t>
        </is>
      </c>
      <c r="C96" s="7" t="inlineStr">
        <is>
          <t>%</t>
        </is>
      </c>
      <c r="D96" s="51" t="n">
        <v>0.315</v>
      </c>
      <c r="E96" s="41" t="inlineStr">
        <is>
          <t>includes ~30 bp of headcount-reduction cost</t>
        </is>
      </c>
    </row>
    <row r="97">
      <c r="B97" s="10" t="inlineStr">
        <is>
          <t>FY26 free cash flow</t>
        </is>
      </c>
      <c r="C97" s="7" t="inlineStr">
        <is>
          <t>$mm</t>
        </is>
      </c>
      <c r="D97" s="45" t="n">
        <v>12000</v>
      </c>
      <c r="E97" s="41" t="inlineStr">
        <is>
          <t>was ~12.5B; cut for a Q4 real-estate purchase</t>
        </is>
      </c>
    </row>
    <row r="98">
      <c r="B98" s="10" t="inlineStr">
        <is>
          <t>FY26 advertising revenue</t>
        </is>
      </c>
      <c r="C98" s="7" t="inlineStr">
        <is>
          <t>$mm</t>
        </is>
      </c>
      <c r="D98" s="45" t="n">
        <v>2700</v>
      </c>
      <c r="E98" s="41" t="inlineStr">
        <is>
          <t>was ~3.0B</t>
        </is>
      </c>
    </row>
    <row r="99">
      <c r="B99" s="10" t="inlineStr">
        <is>
          <t>FY26 content amortization growth</t>
        </is>
      </c>
      <c r="C99" s="7" t="inlineStr">
        <is>
          <t>%</t>
        </is>
      </c>
      <c r="D99" s="51" t="n">
        <v>0.1</v>
      </c>
    </row>
    <row r="100">
      <c r="B100" s="10" t="inlineStr">
        <is>
          <t>Q4 2026 revenue</t>
        </is>
      </c>
      <c r="C100" s="7" t="inlineStr">
        <is>
          <t>$mm</t>
        </is>
      </c>
      <c r="D100" s="45" t="n">
        <v>13442</v>
      </c>
      <c r="E100" s="41" t="inlineStr">
        <is>
          <t>+12% (+11% F/X neutral)</t>
        </is>
      </c>
    </row>
    <row r="101">
      <c r="B101" s="10" t="inlineStr">
        <is>
          <t>Q4 2026 operating income</t>
        </is>
      </c>
      <c r="C101" s="7" t="inlineStr">
        <is>
          <t>$mm</t>
        </is>
      </c>
      <c r="D101" s="45" t="n">
        <v>3500</v>
      </c>
      <c r="E101" s="41" t="inlineStr">
        <is>
          <t>26.0% margin incl. ~120 bp of headcount cost</t>
        </is>
      </c>
    </row>
    <row r="102">
      <c r="B102" s="10" t="inlineStr">
        <is>
          <t>Q4 2026 diluted EPS</t>
        </is>
      </c>
      <c r="C102" s="7" t="inlineStr">
        <is>
          <t>$</t>
        </is>
      </c>
      <c r="D102" s="54" t="n">
        <v>0.67</v>
      </c>
      <c r="E102" s="41" t="inlineStr">
        <is>
          <t>net income $2,787mm</t>
        </is>
      </c>
    </row>
    <row r="103">
      <c r="B103" s="10" t="inlineStr">
        <is>
          <t>Street FY26 revenue</t>
        </is>
      </c>
      <c r="C103" s="7" t="inlineStr">
        <is>
          <t>$mm</t>
        </is>
      </c>
      <c r="D103" s="45" t="n">
        <v>51126</v>
      </c>
      <c r="E103" s="41" t="inlineStr">
        <is>
          <t>Yahoo 2026-10-23</t>
        </is>
      </c>
    </row>
    <row r="104">
      <c r="B104" s="10" t="inlineStr">
        <is>
          <t>Street FY26 EPS (GAAP, includes the fee)</t>
        </is>
      </c>
      <c r="C104" s="7" t="inlineStr">
        <is>
          <t>$</t>
        </is>
      </c>
      <c r="D104" s="54" t="n">
        <v>3.58</v>
      </c>
      <c r="E104" s="41" t="inlineStr">
        <is>
          <t>35 analysts</t>
        </is>
      </c>
    </row>
    <row r="105">
      <c r="B105" s="10" t="inlineStr">
        <is>
          <t>Street FY27 revenue</t>
        </is>
      </c>
      <c r="C105" s="7" t="inlineStr">
        <is>
          <t>$mm</t>
        </is>
      </c>
      <c r="D105" s="45" t="n">
        <v>56634</v>
      </c>
    </row>
    <row r="106">
      <c r="B106" s="10" t="inlineStr">
        <is>
          <t>Street FY27 EPS</t>
        </is>
      </c>
      <c r="C106" s="7" t="inlineStr">
        <is>
          <t>$</t>
        </is>
      </c>
      <c r="D106" s="54" t="n">
        <v>3.76</v>
      </c>
      <c r="E106" s="41" t="inlineStr">
        <is>
          <t>range $3.56 to $3.98, 44 analysts</t>
        </is>
      </c>
    </row>
    <row r="107">
      <c r="B107" s="10" t="inlineStr">
        <is>
          <t>Street price target, average</t>
        </is>
      </c>
      <c r="C107" s="7" t="inlineStr">
        <is>
          <t>$</t>
        </is>
      </c>
      <c r="D107" s="54" t="n">
        <v>84.83</v>
      </c>
      <c r="E107" s="41" t="inlineStr">
        <is>
          <t>range $57 to $126; mean target $84.83, median $84 (Yahoo, 2026-10-23); more than 20 brokers cut targets after Q3 (LSEG via Reuters)</t>
        </is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P34"/>
  <sheetViews>
    <sheetView showGridLines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4" customWidth="1" min="2" max="2"/>
    <col width="7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</cols>
  <sheetData>
    <row r="1">
      <c r="B1" s="1" t="inlineStr">
        <is>
          <t>Netflix, Inc.  |  Quarterly</t>
        </is>
      </c>
    </row>
    <row r="2">
      <c r="B2" s="2" t="inlineStr">
        <is>
          <t>2025 quarters, 1Q-3Q 2026A, and the 4Q26 the active scenario implies, against the Q4 guide.</t>
        </is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26" t="inlineStr">
        <is>
          <t>Revenue</t>
        </is>
      </c>
      <c r="C5" s="18" t="n"/>
      <c r="D5" s="19" t="inlineStr">
        <is>
          <t>1Q25A</t>
        </is>
      </c>
      <c r="E5" s="19" t="inlineStr">
        <is>
          <t>2Q25A</t>
        </is>
      </c>
      <c r="F5" s="19" t="inlineStr">
        <is>
          <t>3Q25A</t>
        </is>
      </c>
      <c r="G5" s="19" t="inlineStr">
        <is>
          <t>4Q25A</t>
        </is>
      </c>
      <c r="H5" s="19" t="inlineStr">
        <is>
          <t>FY25A</t>
        </is>
      </c>
      <c r="I5" s="19" t="inlineStr">
        <is>
          <t>1Q26A</t>
        </is>
      </c>
      <c r="J5" s="19" t="inlineStr">
        <is>
          <t>2Q26A</t>
        </is>
      </c>
      <c r="K5" s="19" t="inlineStr">
        <is>
          <t>3Q26A</t>
        </is>
      </c>
      <c r="L5" s="19" t="inlineStr">
        <is>
          <t>4Q26E</t>
        </is>
      </c>
      <c r="M5" s="19" t="inlineStr">
        <is>
          <t>FY26E</t>
        </is>
      </c>
      <c r="N5" s="19" t="inlineStr">
        <is>
          <t>y/y</t>
        </is>
      </c>
      <c r="O5" s="19" t="inlineStr">
        <is>
          <t>Q4 guide</t>
        </is>
      </c>
    </row>
    <row r="6">
      <c r="B6" s="10" t="inlineStr">
        <is>
          <t>United States and Canada</t>
        </is>
      </c>
      <c r="C6" s="7" t="inlineStr">
        <is>
          <t>$mm</t>
        </is>
      </c>
      <c r="D6" s="45" t="n">
        <v>4617</v>
      </c>
      <c r="E6" s="45" t="n">
        <v>4929</v>
      </c>
      <c r="F6" s="45" t="n">
        <v>5072</v>
      </c>
      <c r="G6" s="45" t="n">
        <v>5339</v>
      </c>
      <c r="H6" s="47">
        <f>SUM(D6:G6)</f>
        <v/>
      </c>
      <c r="I6" s="45" t="n">
        <v>5245</v>
      </c>
      <c r="J6" s="45" t="n">
        <v>5432</v>
      </c>
      <c r="K6" s="45" t="n">
        <v>5628</v>
      </c>
      <c r="L6" s="59">
        <f>M6-I6-J6-K6</f>
        <v/>
      </c>
      <c r="M6" s="12">
        <f>'Model'!I7</f>
        <v/>
      </c>
      <c r="N6" s="60">
        <f>M6/H6-1</f>
        <v/>
      </c>
    </row>
    <row r="7">
      <c r="B7" s="10" t="inlineStr">
        <is>
          <t>Europe, Middle East and Africa</t>
        </is>
      </c>
      <c r="C7" s="7" t="inlineStr">
        <is>
          <t>$mm</t>
        </is>
      </c>
      <c r="D7" s="45" t="n">
        <v>3405</v>
      </c>
      <c r="E7" s="45" t="n">
        <v>3538</v>
      </c>
      <c r="F7" s="45" t="n">
        <v>3699</v>
      </c>
      <c r="G7" s="45" t="n">
        <v>3873</v>
      </c>
      <c r="H7" s="47">
        <f>SUM(D7:G7)</f>
        <v/>
      </c>
      <c r="I7" s="45" t="n">
        <v>3998</v>
      </c>
      <c r="J7" s="45" t="n">
        <v>4034</v>
      </c>
      <c r="K7" s="45" t="n">
        <v>4107</v>
      </c>
      <c r="L7" s="59">
        <f>M7-I7-J7-K7</f>
        <v/>
      </c>
      <c r="M7" s="12">
        <f>'Model'!I9</f>
        <v/>
      </c>
      <c r="N7" s="60">
        <f>M7/H7-1</f>
        <v/>
      </c>
    </row>
    <row r="8">
      <c r="B8" s="10" t="inlineStr">
        <is>
          <t>Latin America</t>
        </is>
      </c>
      <c r="C8" s="7" t="inlineStr">
        <is>
          <t>$mm</t>
        </is>
      </c>
      <c r="D8" s="45" t="n">
        <v>1262</v>
      </c>
      <c r="E8" s="45" t="n">
        <v>1307</v>
      </c>
      <c r="F8" s="45" t="n">
        <v>1371</v>
      </c>
      <c r="G8" s="45" t="n">
        <v>1418</v>
      </c>
      <c r="H8" s="47">
        <f>SUM(D8:G8)</f>
        <v/>
      </c>
      <c r="I8" s="45" t="n">
        <v>1497</v>
      </c>
      <c r="J8" s="45" t="n">
        <v>1584</v>
      </c>
      <c r="K8" s="45" t="n">
        <v>1603</v>
      </c>
      <c r="L8" s="59">
        <f>M8-I8-J8-K8</f>
        <v/>
      </c>
      <c r="M8" s="12">
        <f>'Model'!I11</f>
        <v/>
      </c>
      <c r="N8" s="60">
        <f>M8/H8-1</f>
        <v/>
      </c>
    </row>
    <row r="9">
      <c r="B9" s="10" t="inlineStr">
        <is>
          <t>Asia-Pacific</t>
        </is>
      </c>
      <c r="C9" s="7" t="inlineStr">
        <is>
          <t>$mm</t>
        </is>
      </c>
      <c r="D9" s="45" t="n">
        <v>1259</v>
      </c>
      <c r="E9" s="45" t="n">
        <v>1305</v>
      </c>
      <c r="F9" s="45" t="n">
        <v>1369</v>
      </c>
      <c r="G9" s="45" t="n">
        <v>1421</v>
      </c>
      <c r="H9" s="47">
        <f>SUM(D9:G9)</f>
        <v/>
      </c>
      <c r="I9" s="45" t="n">
        <v>1509</v>
      </c>
      <c r="J9" s="45" t="n">
        <v>1510</v>
      </c>
      <c r="K9" s="45" t="n">
        <v>1537</v>
      </c>
      <c r="L9" s="59">
        <f>M9-I9-J9-K9</f>
        <v/>
      </c>
      <c r="M9" s="12">
        <f>'Model'!I13</f>
        <v/>
      </c>
      <c r="N9" s="60">
        <f>M9/H9-1</f>
        <v/>
      </c>
    </row>
    <row r="10">
      <c r="B10" s="6" t="inlineStr">
        <is>
          <t>Total revenue</t>
        </is>
      </c>
      <c r="C10" s="7" t="inlineStr">
        <is>
          <t>$mm</t>
        </is>
      </c>
      <c r="D10" s="56">
        <f>D6+D7+D8+D9</f>
        <v/>
      </c>
      <c r="E10" s="56">
        <f>E6+E7+E8+E9</f>
        <v/>
      </c>
      <c r="F10" s="56">
        <f>F6+F7+F8+F9</f>
        <v/>
      </c>
      <c r="G10" s="56">
        <f>G6+G7+G8+G9</f>
        <v/>
      </c>
      <c r="H10" s="56">
        <f>H6+H7+H8+H9</f>
        <v/>
      </c>
      <c r="I10" s="56">
        <f>I6+I7+I8+I9</f>
        <v/>
      </c>
      <c r="J10" s="56">
        <f>J6+J7+J8+J9</f>
        <v/>
      </c>
      <c r="K10" s="56">
        <f>K6+K7+K8+K9</f>
        <v/>
      </c>
      <c r="L10" s="61">
        <f>M10-I10-J10-K10</f>
        <v/>
      </c>
      <c r="M10" s="62">
        <f>'Model'!I16</f>
        <v/>
      </c>
      <c r="N10" s="63">
        <f>M10/H10-1</f>
        <v/>
      </c>
      <c r="O10" s="62">
        <f>'Drivers'!$D$100</f>
        <v/>
      </c>
    </row>
    <row r="11">
      <c r="B11" s="30" t="inlineStr">
        <is>
          <t>y/y</t>
        </is>
      </c>
      <c r="C11" s="7" t="inlineStr">
        <is>
          <t>%</t>
        </is>
      </c>
      <c r="I11" s="60">
        <f>I10/D10-1</f>
        <v/>
      </c>
      <c r="J11" s="60">
        <f>J10/E10-1</f>
        <v/>
      </c>
      <c r="K11" s="60">
        <f>K10/F10-1</f>
        <v/>
      </c>
      <c r="L11" s="64">
        <f>L10/G10-1</f>
        <v/>
      </c>
      <c r="M11" s="60">
        <f>M10/H10-1</f>
        <v/>
      </c>
      <c r="O11" s="60">
        <f>O10/G10-1</f>
        <v/>
      </c>
    </row>
    <row r="12">
      <c r="L12" s="65" t="n"/>
    </row>
    <row r="13">
      <c r="B13" s="4" t="inlineStr">
        <is>
          <t>INCOME STATEMENT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6" t="n"/>
      <c r="M13" s="5" t="n"/>
      <c r="N13" s="5" t="n"/>
      <c r="O13" s="5" t="n"/>
    </row>
    <row r="14">
      <c r="B14" s="10" t="inlineStr">
        <is>
          <t>Cost of revenues (incl. content amortization)</t>
        </is>
      </c>
      <c r="C14" s="7" t="inlineStr">
        <is>
          <t>$mm</t>
        </is>
      </c>
      <c r="D14" s="45" t="n">
        <v>5263</v>
      </c>
      <c r="E14" s="45" t="n">
        <v>5325</v>
      </c>
      <c r="F14" s="45" t="n">
        <v>6164</v>
      </c>
      <c r="G14" s="45" t="n">
        <v>6523</v>
      </c>
      <c r="H14" s="47">
        <f>SUM(D14:G14)</f>
        <v/>
      </c>
      <c r="I14" s="45" t="n">
        <v>5888</v>
      </c>
      <c r="J14" s="45" t="n">
        <v>6037</v>
      </c>
      <c r="K14" s="45" t="n">
        <v>6079</v>
      </c>
      <c r="L14" s="59">
        <f>M14-I14-J14-K14</f>
        <v/>
      </c>
      <c r="M14" s="12">
        <f>'Model'!I24+'Model'!I27</f>
        <v/>
      </c>
      <c r="N14" s="60">
        <f>M14/H14-1</f>
        <v/>
      </c>
    </row>
    <row r="15">
      <c r="B15" s="10" t="inlineStr">
        <is>
          <t>Sales and marketing</t>
        </is>
      </c>
      <c r="C15" s="7" t="inlineStr">
        <is>
          <t>$mm</t>
        </is>
      </c>
      <c r="D15" s="45" t="n">
        <v>688</v>
      </c>
      <c r="E15" s="45" t="n">
        <v>713</v>
      </c>
      <c r="F15" s="45" t="n">
        <v>786</v>
      </c>
      <c r="G15" s="45" t="n">
        <v>1114</v>
      </c>
      <c r="H15" s="47">
        <f>SUM(D15:G15)</f>
        <v/>
      </c>
      <c r="I15" s="45" t="n">
        <v>842</v>
      </c>
      <c r="J15" s="45" t="n">
        <v>824</v>
      </c>
      <c r="K15" s="45" t="n">
        <v>837</v>
      </c>
      <c r="L15" s="65" t="n"/>
    </row>
    <row r="16">
      <c r="B16" s="10" t="inlineStr">
        <is>
          <t>Technology and development</t>
        </is>
      </c>
      <c r="C16" s="7" t="inlineStr">
        <is>
          <t>$mm</t>
        </is>
      </c>
      <c r="D16" s="45" t="n">
        <v>823</v>
      </c>
      <c r="E16" s="45" t="n">
        <v>825</v>
      </c>
      <c r="F16" s="45" t="n">
        <v>854</v>
      </c>
      <c r="G16" s="45" t="n">
        <v>890</v>
      </c>
      <c r="H16" s="47">
        <f>SUM(D16:G16)</f>
        <v/>
      </c>
      <c r="I16" s="45" t="n">
        <v>960</v>
      </c>
      <c r="J16" s="45" t="n">
        <v>1008</v>
      </c>
      <c r="K16" s="45" t="n">
        <v>1033</v>
      </c>
      <c r="L16" s="65" t="n"/>
    </row>
    <row r="17">
      <c r="B17" s="10" t="inlineStr">
        <is>
          <t>General and administrative</t>
        </is>
      </c>
      <c r="C17" s="7" t="inlineStr">
        <is>
          <t>$mm</t>
        </is>
      </c>
      <c r="D17" s="45" t="n">
        <v>421</v>
      </c>
      <c r="E17" s="45" t="n">
        <v>441</v>
      </c>
      <c r="F17" s="45" t="n">
        <v>458</v>
      </c>
      <c r="G17" s="45" t="n">
        <v>568</v>
      </c>
      <c r="H17" s="47">
        <f>SUM(D17:G17)</f>
        <v/>
      </c>
      <c r="I17" s="45" t="n">
        <v>603</v>
      </c>
      <c r="J17" s="45" t="n">
        <v>499</v>
      </c>
      <c r="K17" s="45" t="n">
        <v>466</v>
      </c>
      <c r="L17" s="65" t="n"/>
    </row>
    <row r="18">
      <c r="B18" s="10" t="inlineStr">
        <is>
          <t>Operating expenses</t>
        </is>
      </c>
      <c r="C18" s="7" t="inlineStr">
        <is>
          <t>$mm</t>
        </is>
      </c>
      <c r="D18" s="47">
        <f>D15+D16+D17</f>
        <v/>
      </c>
      <c r="E18" s="47">
        <f>E15+E16+E17</f>
        <v/>
      </c>
      <c r="F18" s="47">
        <f>F15+F16+F17</f>
        <v/>
      </c>
      <c r="G18" s="47">
        <f>G15+G16+G17</f>
        <v/>
      </c>
      <c r="H18" s="47">
        <f>H15+H16+H17</f>
        <v/>
      </c>
      <c r="I18" s="47">
        <f>I15+I16+I17</f>
        <v/>
      </c>
      <c r="J18" s="47">
        <f>J15+J16+J17</f>
        <v/>
      </c>
      <c r="K18" s="47">
        <f>K15+K16+K17</f>
        <v/>
      </c>
      <c r="L18" s="59">
        <f>M18-I18-J18-K18</f>
        <v/>
      </c>
      <c r="M18" s="12">
        <f>'Model'!I31</f>
        <v/>
      </c>
      <c r="N18" s="60">
        <f>M18/H18-1</f>
        <v/>
      </c>
    </row>
    <row r="19">
      <c r="B19" s="6" t="inlineStr">
        <is>
          <t>Operating income</t>
        </is>
      </c>
      <c r="C19" s="7" t="inlineStr">
        <is>
          <t>$mm</t>
        </is>
      </c>
      <c r="D19" s="56">
        <f>D10-D14-D18</f>
        <v/>
      </c>
      <c r="E19" s="56">
        <f>E10-E14-E18</f>
        <v/>
      </c>
      <c r="F19" s="56">
        <f>F10-F14-F18</f>
        <v/>
      </c>
      <c r="G19" s="56">
        <f>G10-G14-G18</f>
        <v/>
      </c>
      <c r="H19" s="56">
        <f>H10-H14-H18</f>
        <v/>
      </c>
      <c r="I19" s="56">
        <f>I10-I14-I18</f>
        <v/>
      </c>
      <c r="J19" s="56">
        <f>J10-J14-J18</f>
        <v/>
      </c>
      <c r="K19" s="56">
        <f>K10-K14-K18</f>
        <v/>
      </c>
      <c r="L19" s="61">
        <f>M19-I19-J19-K19</f>
        <v/>
      </c>
      <c r="M19" s="62">
        <f>'Model'!I33</f>
        <v/>
      </c>
      <c r="N19" s="63">
        <f>M19/H19-1</f>
        <v/>
      </c>
      <c r="O19" s="62">
        <f>'Drivers'!$D$101</f>
        <v/>
      </c>
    </row>
    <row r="20">
      <c r="B20" s="30" t="inlineStr">
        <is>
          <t>operating margin</t>
        </is>
      </c>
      <c r="C20" s="7" t="inlineStr">
        <is>
          <t>%</t>
        </is>
      </c>
      <c r="D20" s="60">
        <f>D19/D10</f>
        <v/>
      </c>
      <c r="E20" s="60">
        <f>E19/E10</f>
        <v/>
      </c>
      <c r="F20" s="60">
        <f>F19/F10</f>
        <v/>
      </c>
      <c r="G20" s="60">
        <f>G19/G10</f>
        <v/>
      </c>
      <c r="H20" s="60">
        <f>H19/H10</f>
        <v/>
      </c>
      <c r="I20" s="60">
        <f>I19/I10</f>
        <v/>
      </c>
      <c r="J20" s="60">
        <f>J19/J10</f>
        <v/>
      </c>
      <c r="K20" s="60">
        <f>K19/K10</f>
        <v/>
      </c>
      <c r="L20" s="64">
        <f>L19/L10</f>
        <v/>
      </c>
      <c r="M20" s="60">
        <f>M19/M10</f>
        <v/>
      </c>
      <c r="O20" s="60">
        <f>O19/O10</f>
        <v/>
      </c>
    </row>
    <row r="21">
      <c r="B21" s="30" t="inlineStr">
        <is>
          <t>Operating income, reported (memo)</t>
        </is>
      </c>
      <c r="C21" s="7" t="inlineStr">
        <is>
          <t>$mm</t>
        </is>
      </c>
      <c r="D21" s="45" t="n">
        <v>3347</v>
      </c>
      <c r="E21" s="45" t="n">
        <v>3775</v>
      </c>
      <c r="F21" s="45" t="n">
        <v>3248</v>
      </c>
      <c r="G21" s="45" t="n">
        <v>2957</v>
      </c>
      <c r="H21" s="67">
        <f>SUM(D21:G21)</f>
        <v/>
      </c>
      <c r="I21" s="45" t="n">
        <v>3957</v>
      </c>
      <c r="J21" s="45" t="n">
        <v>4193</v>
      </c>
      <c r="K21" s="45" t="n">
        <v>4459</v>
      </c>
      <c r="L21" s="65" t="n"/>
    </row>
    <row r="22">
      <c r="B22" s="10" t="inlineStr">
        <is>
          <t>Interest and other, net (1Q26 includes the $2.8B fee)</t>
        </is>
      </c>
      <c r="C22" s="7" t="inlineStr">
        <is>
          <t>$mm</t>
        </is>
      </c>
      <c r="D22" s="45" t="n">
        <v>-133</v>
      </c>
      <c r="E22" s="45" t="n">
        <v>-143</v>
      </c>
      <c r="F22" s="45" t="n">
        <v>-139</v>
      </c>
      <c r="G22" s="45" t="n">
        <v>-189</v>
      </c>
      <c r="H22" s="47">
        <f>SUM(D22:G22)</f>
        <v/>
      </c>
      <c r="I22" s="45" t="n">
        <v>2590</v>
      </c>
      <c r="J22" s="45" t="n">
        <v>-124</v>
      </c>
      <c r="K22" s="45" t="n">
        <v>-142</v>
      </c>
      <c r="L22" s="59">
        <f>M22-I22-J22-K22</f>
        <v/>
      </c>
      <c r="M22" s="12">
        <f>'Model'!I36+'Model'!I37</f>
        <v/>
      </c>
      <c r="N22" s="60">
        <f>M22/H22-1</f>
        <v/>
      </c>
    </row>
    <row r="23">
      <c r="B23" s="10" t="inlineStr">
        <is>
          <t>Income before income taxes</t>
        </is>
      </c>
      <c r="C23" s="7" t="inlineStr">
        <is>
          <t>$mm</t>
        </is>
      </c>
      <c r="D23" s="47">
        <f>D19+D22</f>
        <v/>
      </c>
      <c r="E23" s="47">
        <f>E19+E22</f>
        <v/>
      </c>
      <c r="F23" s="47">
        <f>F19+F22</f>
        <v/>
      </c>
      <c r="G23" s="47">
        <f>G19+G22</f>
        <v/>
      </c>
      <c r="H23" s="47">
        <f>H19+H22</f>
        <v/>
      </c>
      <c r="I23" s="47">
        <f>I19+I22</f>
        <v/>
      </c>
      <c r="J23" s="47">
        <f>J19+J22</f>
        <v/>
      </c>
      <c r="K23" s="47">
        <f>K19+K22</f>
        <v/>
      </c>
      <c r="L23" s="59">
        <f>M23-I23-J23-K23</f>
        <v/>
      </c>
      <c r="M23" s="47">
        <f>M19+M22</f>
        <v/>
      </c>
      <c r="N23" s="60">
        <f>M23/H23-1</f>
        <v/>
      </c>
    </row>
    <row r="24">
      <c r="B24" s="10" t="inlineStr">
        <is>
          <t>Provision for income taxes</t>
        </is>
      </c>
      <c r="C24" s="7" t="inlineStr">
        <is>
          <t>$mm</t>
        </is>
      </c>
      <c r="D24" s="45" t="n">
        <v>323</v>
      </c>
      <c r="E24" s="45" t="n">
        <v>506</v>
      </c>
      <c r="F24" s="45" t="n">
        <v>562</v>
      </c>
      <c r="G24" s="45" t="n">
        <v>349</v>
      </c>
      <c r="H24" s="47">
        <f>SUM(D24:G24)</f>
        <v/>
      </c>
      <c r="I24" s="45" t="n">
        <v>1264</v>
      </c>
      <c r="J24" s="45" t="n">
        <v>667</v>
      </c>
      <c r="K24" s="45" t="n">
        <v>653</v>
      </c>
      <c r="L24" s="59">
        <f>M24-I24-J24-K24</f>
        <v/>
      </c>
      <c r="M24" s="12">
        <f>'Model'!I40</f>
        <v/>
      </c>
      <c r="N24" s="60">
        <f>M24/H24-1</f>
        <v/>
      </c>
    </row>
    <row r="25">
      <c r="B25" s="6" t="inlineStr">
        <is>
          <t>Net income</t>
        </is>
      </c>
      <c r="C25" s="7" t="inlineStr">
        <is>
          <t>$mm</t>
        </is>
      </c>
      <c r="D25" s="56">
        <f>D23-D24</f>
        <v/>
      </c>
      <c r="E25" s="56">
        <f>E23-E24</f>
        <v/>
      </c>
      <c r="F25" s="56">
        <f>F23-F24</f>
        <v/>
      </c>
      <c r="G25" s="56">
        <f>G23-G24</f>
        <v/>
      </c>
      <c r="H25" s="56">
        <f>H23-H24</f>
        <v/>
      </c>
      <c r="I25" s="56">
        <f>I23-I24</f>
        <v/>
      </c>
      <c r="J25" s="56">
        <f>J23-J24</f>
        <v/>
      </c>
      <c r="K25" s="56">
        <f>K23-K24</f>
        <v/>
      </c>
      <c r="L25" s="61">
        <f>M25-I25-J25-K25</f>
        <v/>
      </c>
      <c r="M25" s="56">
        <f>M23-M24</f>
        <v/>
      </c>
      <c r="N25" s="63">
        <f>M25/H25-1</f>
        <v/>
      </c>
      <c r="O25" s="68" t="n">
        <v>2787</v>
      </c>
    </row>
    <row r="26">
      <c r="B26" s="30" t="inlineStr">
        <is>
          <t>Net income, reported (memo)</t>
        </is>
      </c>
      <c r="C26" s="7" t="inlineStr">
        <is>
          <t>$mm</t>
        </is>
      </c>
      <c r="D26" s="45" t="n">
        <v>2890</v>
      </c>
      <c r="E26" s="45" t="n">
        <v>3125</v>
      </c>
      <c r="F26" s="45" t="n">
        <v>2547</v>
      </c>
      <c r="G26" s="45" t="n">
        <v>2419</v>
      </c>
      <c r="H26" s="67">
        <f>SUM(D26:G26)</f>
        <v/>
      </c>
      <c r="I26" s="45" t="n">
        <v>5283</v>
      </c>
      <c r="J26" s="45" t="n">
        <v>3401</v>
      </c>
      <c r="K26" s="45" t="n">
        <v>3664</v>
      </c>
      <c r="L26" s="65" t="n"/>
    </row>
    <row r="27">
      <c r="B27" s="10" t="inlineStr">
        <is>
          <t>Diluted shares</t>
        </is>
      </c>
      <c r="C27" s="7" t="inlineStr">
        <is>
          <t>mm</t>
        </is>
      </c>
      <c r="D27" s="44" t="n">
        <v>4369.6</v>
      </c>
      <c r="E27" s="44" t="n">
        <v>4348.8</v>
      </c>
      <c r="F27" s="44" t="n">
        <v>4340.4</v>
      </c>
      <c r="G27" s="44" t="n">
        <v>4330</v>
      </c>
      <c r="H27" s="44" t="n">
        <v>4344</v>
      </c>
      <c r="I27" s="44" t="n">
        <v>4298.4</v>
      </c>
      <c r="J27" s="44" t="n">
        <v>4261.3</v>
      </c>
      <c r="K27" s="44" t="n">
        <v>4195.1</v>
      </c>
      <c r="L27" s="35">
        <f>'Model'!I73</f>
        <v/>
      </c>
      <c r="M27" s="11">
        <f>'Model'!I44</f>
        <v/>
      </c>
    </row>
    <row r="28">
      <c r="B28" s="6" t="inlineStr">
        <is>
          <t>Diluted EPS, GAAP</t>
        </is>
      </c>
      <c r="C28" s="7" t="inlineStr">
        <is>
          <t>$</t>
        </is>
      </c>
      <c r="D28" s="69">
        <f>D25/D27</f>
        <v/>
      </c>
      <c r="E28" s="69">
        <f>E25/E27</f>
        <v/>
      </c>
      <c r="F28" s="69">
        <f>F25/F27</f>
        <v/>
      </c>
      <c r="G28" s="69">
        <f>G25/G27</f>
        <v/>
      </c>
      <c r="H28" s="69">
        <f>H25/H27</f>
        <v/>
      </c>
      <c r="I28" s="69">
        <f>I25/I27</f>
        <v/>
      </c>
      <c r="J28" s="69">
        <f>J25/J27</f>
        <v/>
      </c>
      <c r="K28" s="69">
        <f>K25/K27</f>
        <v/>
      </c>
      <c r="L28" s="70">
        <f>L25/L27</f>
        <v/>
      </c>
      <c r="M28" s="69">
        <f>M25/M27</f>
        <v/>
      </c>
      <c r="N28" s="60">
        <f>M28/H28-1</f>
        <v/>
      </c>
      <c r="O28" s="22">
        <f>'Drivers'!$D$102</f>
        <v/>
      </c>
    </row>
    <row r="29">
      <c r="B29" s="30" t="inlineStr">
        <is>
          <t>Diluted EPS, reported (memo)</t>
        </is>
      </c>
      <c r="C29" s="7" t="inlineStr">
        <is>
          <t>$</t>
        </is>
      </c>
      <c r="D29" s="54" t="n">
        <v>0.66</v>
      </c>
      <c r="E29" s="54" t="n">
        <v>0.72</v>
      </c>
      <c r="F29" s="54" t="n">
        <v>0.59</v>
      </c>
      <c r="G29" s="54" t="n">
        <v>0.5600000000000001</v>
      </c>
      <c r="H29" s="54" t="n">
        <v>2.53</v>
      </c>
      <c r="I29" s="54" t="n">
        <v>1.23</v>
      </c>
      <c r="J29" s="54" t="n">
        <v>0.8</v>
      </c>
      <c r="K29" s="54" t="n">
        <v>0.87</v>
      </c>
      <c r="L29" s="65" t="n"/>
    </row>
    <row r="30">
      <c r="L30" s="65" t="n"/>
    </row>
    <row r="31">
      <c r="B31" s="4" t="inlineStr">
        <is>
          <t>CASH FLOW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66" t="n"/>
      <c r="M31" s="5" t="n"/>
      <c r="N31" s="5" t="n"/>
      <c r="O31" s="5" t="n"/>
    </row>
    <row r="32">
      <c r="B32" s="6" t="inlineStr">
        <is>
          <t>Free cash flow (company definition)</t>
        </is>
      </c>
      <c r="C32" s="7" t="inlineStr">
        <is>
          <t>$mm</t>
        </is>
      </c>
      <c r="D32" s="71" t="n">
        <v>2661</v>
      </c>
      <c r="E32" s="71" t="n">
        <v>2273</v>
      </c>
      <c r="F32" s="71" t="n">
        <v>2660</v>
      </c>
      <c r="G32" s="71" t="n">
        <v>1867</v>
      </c>
      <c r="H32" s="46">
        <f>SUM(D32:G32)</f>
        <v/>
      </c>
      <c r="I32" s="71" t="n">
        <v>5094</v>
      </c>
      <c r="J32" s="71" t="n">
        <v>1525</v>
      </c>
      <c r="K32" s="71" t="n">
        <v>2884</v>
      </c>
      <c r="L32" s="72">
        <f>M32-I32-J32-K32</f>
        <v/>
      </c>
      <c r="M32" s="13">
        <f>'Model'!I61</f>
        <v/>
      </c>
      <c r="N32" s="60">
        <f>M32/H32-1</f>
        <v/>
      </c>
      <c r="O32" s="46">
        <f>'Drivers'!$D$97-I32-J32-K32</f>
        <v/>
      </c>
      <c r="P32" s="41" t="inlineStr">
        <is>
          <t>Q4 guide column = FY guide $12.0B less 9M actual</t>
        </is>
      </c>
    </row>
    <row r="33">
      <c r="B33" s="10" t="inlineStr">
        <is>
          <t>Share repurchases (cash paid)</t>
        </is>
      </c>
      <c r="C33" s="7" t="inlineStr">
        <is>
          <t>$mm</t>
        </is>
      </c>
      <c r="D33" s="45" t="n">
        <v>3536</v>
      </c>
      <c r="E33" s="45" t="n">
        <v>1654</v>
      </c>
      <c r="F33" s="45" t="n">
        <v>1857</v>
      </c>
      <c r="G33" s="45" t="n">
        <v>2080</v>
      </c>
      <c r="H33" s="47">
        <f>SUM(D33:G33)</f>
        <v/>
      </c>
      <c r="I33" s="45" t="n">
        <v>1271</v>
      </c>
      <c r="J33" s="45" t="n">
        <v>4714</v>
      </c>
      <c r="K33" s="45" t="n">
        <v>4797</v>
      </c>
      <c r="L33" s="59">
        <f>M33-I33-J33-K33</f>
        <v/>
      </c>
      <c r="M33" s="12">
        <f>-'Model'!I68</f>
        <v/>
      </c>
      <c r="N33" s="60">
        <f>M33/H33-1</f>
        <v/>
      </c>
    </row>
    <row r="34">
      <c r="B34" s="30" t="inlineStr">
        <is>
          <t>Cash content spend / amortization, nine months</t>
        </is>
      </c>
      <c r="C34" s="7" t="inlineStr">
        <is>
          <t>x</t>
        </is>
      </c>
      <c r="H34" s="73">
        <f>12039/11658</f>
        <v/>
      </c>
      <c r="K34" s="73">
        <f>14934/12765</f>
        <v/>
      </c>
      <c r="L34" s="65" t="n"/>
      <c r="M34" s="74">
        <f>'Model'!I54</f>
        <v/>
      </c>
      <c r="P34" s="41" t="inlineStr">
        <is>
          <t>9M26 additions 14,934 / amortization 12,765; FY guide ~1.1x</t>
        </is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R8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7" customWidth="1" min="3" max="3"/>
    <col width="11" customWidth="1" min="4" max="4"/>
    <col width="11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B1" s="1" t="inlineStr">
        <is>
          <t>Netflix, Inc.  |  Model</t>
        </is>
      </c>
    </row>
    <row r="2">
      <c r="B2" s="2">
        <f>"Active scenario: "&amp;CHOOSE('Drivers'!$D$6,"Bear","Base","Bull")&amp;".  FY2023A to FY2025A reported, FY2026E to FY2035E forecast. Calendar years."</f>
        <v/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4" t="inlineStr">
        <is>
          <t>REVENUE  |  ACTIVE SCENARIO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B6" s="26" t="inlineStr">
        <is>
          <t>Fiscal year (calendar)</t>
        </is>
      </c>
      <c r="C6" s="18" t="n"/>
      <c r="D6" s="18" t="n"/>
      <c r="E6" s="18" t="n"/>
      <c r="F6" s="27" t="n">
        <v>2023</v>
      </c>
      <c r="G6" s="27" t="n">
        <v>2024</v>
      </c>
      <c r="H6" s="27" t="n">
        <v>2025</v>
      </c>
      <c r="I6" s="75" t="n">
        <v>2026</v>
      </c>
      <c r="J6" s="28" t="n">
        <v>2027</v>
      </c>
      <c r="K6" s="28" t="n">
        <v>2028</v>
      </c>
      <c r="L6" s="28" t="n">
        <v>2029</v>
      </c>
      <c r="M6" s="28" t="n">
        <v>2030</v>
      </c>
      <c r="N6" s="28" t="n">
        <v>2031</v>
      </c>
      <c r="O6" s="28" t="n">
        <v>2032</v>
      </c>
      <c r="P6" s="28" t="n">
        <v>2033</v>
      </c>
      <c r="Q6" s="28" t="n">
        <v>2034</v>
      </c>
      <c r="R6" s="28" t="n">
        <v>2035</v>
      </c>
    </row>
    <row r="7">
      <c r="B7" s="10" t="inlineStr">
        <is>
          <t>United States and Canada</t>
        </is>
      </c>
      <c r="C7" s="7" t="inlineStr">
        <is>
          <t>$mm</t>
        </is>
      </c>
      <c r="F7" s="45" t="n">
        <v>14874</v>
      </c>
      <c r="G7" s="45" t="n">
        <v>17359</v>
      </c>
      <c r="H7" s="12">
        <f>'Drivers'!$D$48</f>
        <v/>
      </c>
      <c r="I7" s="59">
        <f>H7*(1+I8)</f>
        <v/>
      </c>
      <c r="J7" s="47">
        <f>I7*(1+J8)</f>
        <v/>
      </c>
      <c r="K7" s="47">
        <f>J7*(1+K8)</f>
        <v/>
      </c>
      <c r="L7" s="47">
        <f>K7*(1+L8)</f>
        <v/>
      </c>
      <c r="M7" s="47">
        <f>L7*(1+M8)</f>
        <v/>
      </c>
      <c r="N7" s="47">
        <f>M7*(1+N8)</f>
        <v/>
      </c>
      <c r="O7" s="47">
        <f>N7*(1+O8)</f>
        <v/>
      </c>
      <c r="P7" s="47">
        <f>O7*(1+P8)</f>
        <v/>
      </c>
      <c r="Q7" s="47">
        <f>P7*(1+Q8)</f>
        <v/>
      </c>
      <c r="R7" s="47">
        <f>Q7*(1+R8)</f>
        <v/>
      </c>
    </row>
    <row r="8">
      <c r="B8" s="30" t="inlineStr">
        <is>
          <t>y/y</t>
        </is>
      </c>
      <c r="C8" s="7" t="inlineStr">
        <is>
          <t>%</t>
        </is>
      </c>
      <c r="G8" s="60">
        <f>G7/F7-1</f>
        <v/>
      </c>
      <c r="H8" s="60">
        <f>H7/G7-1</f>
        <v/>
      </c>
      <c r="I8" s="76">
        <f>CHOOSE('Drivers'!$D$6,'Drivers'!I$69,'Drivers'!I$70,'Drivers'!I$71)</f>
        <v/>
      </c>
      <c r="J8" s="77">
        <f>CHOOSE('Drivers'!$D$6,'Drivers'!J$69,'Drivers'!J$70,'Drivers'!J$71)</f>
        <v/>
      </c>
      <c r="K8" s="77">
        <f>CHOOSE('Drivers'!$D$6,'Drivers'!K$69,'Drivers'!K$70,'Drivers'!K$71)</f>
        <v/>
      </c>
      <c r="L8" s="77">
        <f>CHOOSE('Drivers'!$D$6,'Drivers'!L$69,'Drivers'!L$70,'Drivers'!L$71)</f>
        <v/>
      </c>
      <c r="M8" s="77">
        <f>CHOOSE('Drivers'!$D$6,'Drivers'!M$69,'Drivers'!M$70,'Drivers'!M$71)</f>
        <v/>
      </c>
      <c r="N8" s="77">
        <f>CHOOSE('Drivers'!$D$6,'Drivers'!N$69,'Drivers'!N$70,'Drivers'!N$71)</f>
        <v/>
      </c>
      <c r="O8" s="77">
        <f>CHOOSE('Drivers'!$D$6,'Drivers'!O$69,'Drivers'!O$70,'Drivers'!O$71)</f>
        <v/>
      </c>
      <c r="P8" s="77">
        <f>CHOOSE('Drivers'!$D$6,'Drivers'!P$69,'Drivers'!P$70,'Drivers'!P$71)</f>
        <v/>
      </c>
      <c r="Q8" s="77">
        <f>CHOOSE('Drivers'!$D$6,'Drivers'!Q$69,'Drivers'!Q$70,'Drivers'!Q$71)</f>
        <v/>
      </c>
      <c r="R8" s="77">
        <f>CHOOSE('Drivers'!$D$6,'Drivers'!R$69,'Drivers'!R$70,'Drivers'!R$71)</f>
        <v/>
      </c>
    </row>
    <row r="9">
      <c r="B9" s="10" t="inlineStr">
        <is>
          <t>Europe, Middle East and Africa</t>
        </is>
      </c>
      <c r="C9" s="7" t="inlineStr">
        <is>
          <t>$mm</t>
        </is>
      </c>
      <c r="F9" s="45" t="n">
        <v>10556</v>
      </c>
      <c r="G9" s="45" t="n">
        <v>12387</v>
      </c>
      <c r="H9" s="12">
        <f>'Drivers'!$D$49</f>
        <v/>
      </c>
      <c r="I9" s="59">
        <f>H9*(1+I10)</f>
        <v/>
      </c>
      <c r="J9" s="47">
        <f>I9*(1+J10)</f>
        <v/>
      </c>
      <c r="K9" s="47">
        <f>J9*(1+K10)</f>
        <v/>
      </c>
      <c r="L9" s="47">
        <f>K9*(1+L10)</f>
        <v/>
      </c>
      <c r="M9" s="47">
        <f>L9*(1+M10)</f>
        <v/>
      </c>
      <c r="N9" s="47">
        <f>M9*(1+N10)</f>
        <v/>
      </c>
      <c r="O9" s="47">
        <f>N9*(1+O10)</f>
        <v/>
      </c>
      <c r="P9" s="47">
        <f>O9*(1+P10)</f>
        <v/>
      </c>
      <c r="Q9" s="47">
        <f>P9*(1+Q10)</f>
        <v/>
      </c>
      <c r="R9" s="47">
        <f>Q9*(1+R10)</f>
        <v/>
      </c>
    </row>
    <row r="10">
      <c r="B10" s="30" t="inlineStr">
        <is>
          <t>y/y</t>
        </is>
      </c>
      <c r="C10" s="7" t="inlineStr">
        <is>
          <t>%</t>
        </is>
      </c>
      <c r="G10" s="60">
        <f>G9/F9-1</f>
        <v/>
      </c>
      <c r="H10" s="60">
        <f>H9/G9-1</f>
        <v/>
      </c>
      <c r="I10" s="76">
        <f>CHOOSE('Drivers'!$D$6,'Drivers'!I$72,'Drivers'!I$73,'Drivers'!I$74)</f>
        <v/>
      </c>
      <c r="J10" s="77">
        <f>CHOOSE('Drivers'!$D$6,'Drivers'!J$72,'Drivers'!J$73,'Drivers'!J$74)</f>
        <v/>
      </c>
      <c r="K10" s="77">
        <f>CHOOSE('Drivers'!$D$6,'Drivers'!K$72,'Drivers'!K$73,'Drivers'!K$74)</f>
        <v/>
      </c>
      <c r="L10" s="77">
        <f>CHOOSE('Drivers'!$D$6,'Drivers'!L$72,'Drivers'!L$73,'Drivers'!L$74)</f>
        <v/>
      </c>
      <c r="M10" s="77">
        <f>CHOOSE('Drivers'!$D$6,'Drivers'!M$72,'Drivers'!M$73,'Drivers'!M$74)</f>
        <v/>
      </c>
      <c r="N10" s="77">
        <f>CHOOSE('Drivers'!$D$6,'Drivers'!N$72,'Drivers'!N$73,'Drivers'!N$74)</f>
        <v/>
      </c>
      <c r="O10" s="77">
        <f>CHOOSE('Drivers'!$D$6,'Drivers'!O$72,'Drivers'!O$73,'Drivers'!O$74)</f>
        <v/>
      </c>
      <c r="P10" s="77">
        <f>CHOOSE('Drivers'!$D$6,'Drivers'!P$72,'Drivers'!P$73,'Drivers'!P$74)</f>
        <v/>
      </c>
      <c r="Q10" s="77">
        <f>CHOOSE('Drivers'!$D$6,'Drivers'!Q$72,'Drivers'!Q$73,'Drivers'!Q$74)</f>
        <v/>
      </c>
      <c r="R10" s="77">
        <f>CHOOSE('Drivers'!$D$6,'Drivers'!R$72,'Drivers'!R$73,'Drivers'!R$74)</f>
        <v/>
      </c>
    </row>
    <row r="11">
      <c r="B11" s="10" t="inlineStr">
        <is>
          <t>Latin America</t>
        </is>
      </c>
      <c r="C11" s="7" t="inlineStr">
        <is>
          <t>$mm</t>
        </is>
      </c>
      <c r="F11" s="45" t="n">
        <v>4446</v>
      </c>
      <c r="G11" s="45" t="n">
        <v>4840</v>
      </c>
      <c r="H11" s="12">
        <f>'Drivers'!$D$50</f>
        <v/>
      </c>
      <c r="I11" s="59">
        <f>H11*(1+I12)</f>
        <v/>
      </c>
      <c r="J11" s="47">
        <f>I11*(1+J12)</f>
        <v/>
      </c>
      <c r="K11" s="47">
        <f>J11*(1+K12)</f>
        <v/>
      </c>
      <c r="L11" s="47">
        <f>K11*(1+L12)</f>
        <v/>
      </c>
      <c r="M11" s="47">
        <f>L11*(1+M12)</f>
        <v/>
      </c>
      <c r="N11" s="47">
        <f>M11*(1+N12)</f>
        <v/>
      </c>
      <c r="O11" s="47">
        <f>N11*(1+O12)</f>
        <v/>
      </c>
      <c r="P11" s="47">
        <f>O11*(1+P12)</f>
        <v/>
      </c>
      <c r="Q11" s="47">
        <f>P11*(1+Q12)</f>
        <v/>
      </c>
      <c r="R11" s="47">
        <f>Q11*(1+R12)</f>
        <v/>
      </c>
    </row>
    <row r="12">
      <c r="B12" s="30" t="inlineStr">
        <is>
          <t>y/y</t>
        </is>
      </c>
      <c r="C12" s="7" t="inlineStr">
        <is>
          <t>%</t>
        </is>
      </c>
      <c r="G12" s="60">
        <f>G11/F11-1</f>
        <v/>
      </c>
      <c r="H12" s="60">
        <f>H11/G11-1</f>
        <v/>
      </c>
      <c r="I12" s="76">
        <f>CHOOSE('Drivers'!$D$6,'Drivers'!I$75,'Drivers'!I$76,'Drivers'!I$77)</f>
        <v/>
      </c>
      <c r="J12" s="77">
        <f>CHOOSE('Drivers'!$D$6,'Drivers'!J$75,'Drivers'!J$76,'Drivers'!J$77)</f>
        <v/>
      </c>
      <c r="K12" s="77">
        <f>CHOOSE('Drivers'!$D$6,'Drivers'!K$75,'Drivers'!K$76,'Drivers'!K$77)</f>
        <v/>
      </c>
      <c r="L12" s="77">
        <f>CHOOSE('Drivers'!$D$6,'Drivers'!L$75,'Drivers'!L$76,'Drivers'!L$77)</f>
        <v/>
      </c>
      <c r="M12" s="77">
        <f>CHOOSE('Drivers'!$D$6,'Drivers'!M$75,'Drivers'!M$76,'Drivers'!M$77)</f>
        <v/>
      </c>
      <c r="N12" s="77">
        <f>CHOOSE('Drivers'!$D$6,'Drivers'!N$75,'Drivers'!N$76,'Drivers'!N$77)</f>
        <v/>
      </c>
      <c r="O12" s="77">
        <f>CHOOSE('Drivers'!$D$6,'Drivers'!O$75,'Drivers'!O$76,'Drivers'!O$77)</f>
        <v/>
      </c>
      <c r="P12" s="77">
        <f>CHOOSE('Drivers'!$D$6,'Drivers'!P$75,'Drivers'!P$76,'Drivers'!P$77)</f>
        <v/>
      </c>
      <c r="Q12" s="77">
        <f>CHOOSE('Drivers'!$D$6,'Drivers'!Q$75,'Drivers'!Q$76,'Drivers'!Q$77)</f>
        <v/>
      </c>
      <c r="R12" s="77">
        <f>CHOOSE('Drivers'!$D$6,'Drivers'!R$75,'Drivers'!R$76,'Drivers'!R$77)</f>
        <v/>
      </c>
    </row>
    <row r="13">
      <c r="B13" s="10" t="inlineStr">
        <is>
          <t>Asia-Pacific</t>
        </is>
      </c>
      <c r="C13" s="7" t="inlineStr">
        <is>
          <t>$mm</t>
        </is>
      </c>
      <c r="F13" s="45" t="n">
        <v>3764</v>
      </c>
      <c r="G13" s="45" t="n">
        <v>4415</v>
      </c>
      <c r="H13" s="12">
        <f>'Drivers'!$D$51</f>
        <v/>
      </c>
      <c r="I13" s="59">
        <f>H13*(1+I14)</f>
        <v/>
      </c>
      <c r="J13" s="47">
        <f>I13*(1+J14)</f>
        <v/>
      </c>
      <c r="K13" s="47">
        <f>J13*(1+K14)</f>
        <v/>
      </c>
      <c r="L13" s="47">
        <f>K13*(1+L14)</f>
        <v/>
      </c>
      <c r="M13" s="47">
        <f>L13*(1+M14)</f>
        <v/>
      </c>
      <c r="N13" s="47">
        <f>M13*(1+N14)</f>
        <v/>
      </c>
      <c r="O13" s="47">
        <f>N13*(1+O14)</f>
        <v/>
      </c>
      <c r="P13" s="47">
        <f>O13*(1+P14)</f>
        <v/>
      </c>
      <c r="Q13" s="47">
        <f>P13*(1+Q14)</f>
        <v/>
      </c>
      <c r="R13" s="47">
        <f>Q13*(1+R14)</f>
        <v/>
      </c>
    </row>
    <row r="14">
      <c r="B14" s="30" t="inlineStr">
        <is>
          <t>y/y</t>
        </is>
      </c>
      <c r="C14" s="7" t="inlineStr">
        <is>
          <t>%</t>
        </is>
      </c>
      <c r="G14" s="60">
        <f>G13/F13-1</f>
        <v/>
      </c>
      <c r="H14" s="60">
        <f>H13/G13-1</f>
        <v/>
      </c>
      <c r="I14" s="76">
        <f>CHOOSE('Drivers'!$D$6,'Drivers'!I$78,'Drivers'!I$79,'Drivers'!I$80)</f>
        <v/>
      </c>
      <c r="J14" s="77">
        <f>CHOOSE('Drivers'!$D$6,'Drivers'!J$78,'Drivers'!J$79,'Drivers'!J$80)</f>
        <v/>
      </c>
      <c r="K14" s="77">
        <f>CHOOSE('Drivers'!$D$6,'Drivers'!K$78,'Drivers'!K$79,'Drivers'!K$80)</f>
        <v/>
      </c>
      <c r="L14" s="77">
        <f>CHOOSE('Drivers'!$D$6,'Drivers'!L$78,'Drivers'!L$79,'Drivers'!L$80)</f>
        <v/>
      </c>
      <c r="M14" s="77">
        <f>CHOOSE('Drivers'!$D$6,'Drivers'!M$78,'Drivers'!M$79,'Drivers'!M$80)</f>
        <v/>
      </c>
      <c r="N14" s="77">
        <f>CHOOSE('Drivers'!$D$6,'Drivers'!N$78,'Drivers'!N$79,'Drivers'!N$80)</f>
        <v/>
      </c>
      <c r="O14" s="77">
        <f>CHOOSE('Drivers'!$D$6,'Drivers'!O$78,'Drivers'!O$79,'Drivers'!O$80)</f>
        <v/>
      </c>
      <c r="P14" s="77">
        <f>CHOOSE('Drivers'!$D$6,'Drivers'!P$78,'Drivers'!P$79,'Drivers'!P$80)</f>
        <v/>
      </c>
      <c r="Q14" s="77">
        <f>CHOOSE('Drivers'!$D$6,'Drivers'!Q$78,'Drivers'!Q$79,'Drivers'!Q$80)</f>
        <v/>
      </c>
      <c r="R14" s="77">
        <f>CHOOSE('Drivers'!$D$6,'Drivers'!R$78,'Drivers'!R$79,'Drivers'!R$80)</f>
        <v/>
      </c>
    </row>
    <row r="15">
      <c r="B15" s="10" t="inlineStr">
        <is>
          <t>DVD (wound down 2023)</t>
        </is>
      </c>
      <c r="C15" s="7" t="inlineStr">
        <is>
          <t>$mm</t>
        </is>
      </c>
      <c r="F15" s="45" t="n">
        <v>83</v>
      </c>
      <c r="G15" s="45" t="n">
        <v>0</v>
      </c>
      <c r="H15" s="45" t="n">
        <v>0</v>
      </c>
      <c r="I15" s="59">
        <f>0</f>
        <v/>
      </c>
      <c r="J15" s="47">
        <f>0</f>
        <v/>
      </c>
      <c r="K15" s="47">
        <f>0</f>
        <v/>
      </c>
      <c r="L15" s="47">
        <f>0</f>
        <v/>
      </c>
      <c r="M15" s="47">
        <f>0</f>
        <v/>
      </c>
      <c r="N15" s="47">
        <f>0</f>
        <v/>
      </c>
      <c r="O15" s="47">
        <f>0</f>
        <v/>
      </c>
      <c r="P15" s="47">
        <f>0</f>
        <v/>
      </c>
      <c r="Q15" s="47">
        <f>0</f>
        <v/>
      </c>
      <c r="R15" s="47">
        <f>0</f>
        <v/>
      </c>
    </row>
    <row r="16">
      <c r="B16" s="6" t="inlineStr">
        <is>
          <t>Total revenue</t>
        </is>
      </c>
      <c r="C16" s="7" t="inlineStr">
        <is>
          <t>$mm</t>
        </is>
      </c>
      <c r="F16" s="56">
        <f>F7+F9+F11+F13+F15</f>
        <v/>
      </c>
      <c r="G16" s="56">
        <f>G7+G9+G11+G13+G15</f>
        <v/>
      </c>
      <c r="H16" s="56">
        <f>H7+H9+H11+H13+H15</f>
        <v/>
      </c>
      <c r="I16" s="61">
        <f>I7+I9+I11+I13+I15</f>
        <v/>
      </c>
      <c r="J16" s="56">
        <f>J7+J9+J11+J13+J15</f>
        <v/>
      </c>
      <c r="K16" s="56">
        <f>K7+K9+K11+K13+K15</f>
        <v/>
      </c>
      <c r="L16" s="56">
        <f>L7+L9+L11+L13+L15</f>
        <v/>
      </c>
      <c r="M16" s="56">
        <f>M7+M9+M11+M13+M15</f>
        <v/>
      </c>
      <c r="N16" s="56">
        <f>N7+N9+N11+N13+N15</f>
        <v/>
      </c>
      <c r="O16" s="56">
        <f>O7+O9+O11+O13+O15</f>
        <v/>
      </c>
      <c r="P16" s="56">
        <f>P7+P9+P11+P13+P15</f>
        <v/>
      </c>
      <c r="Q16" s="56">
        <f>Q7+Q9+Q11+Q13+Q15</f>
        <v/>
      </c>
      <c r="R16" s="56">
        <f>R7+R9+R11+R13+R15</f>
        <v/>
      </c>
    </row>
    <row r="17">
      <c r="B17" s="30" t="inlineStr">
        <is>
          <t>y/y</t>
        </is>
      </c>
      <c r="C17" s="7" t="inlineStr">
        <is>
          <t>%</t>
        </is>
      </c>
      <c r="G17" s="60">
        <f>G16/F16-1</f>
        <v/>
      </c>
      <c r="H17" s="60">
        <f>H16/G16-1</f>
        <v/>
      </c>
      <c r="I17" s="64">
        <f>I16/H16-1</f>
        <v/>
      </c>
      <c r="J17" s="60">
        <f>J16/I16-1</f>
        <v/>
      </c>
      <c r="K17" s="60">
        <f>K16/J16-1</f>
        <v/>
      </c>
      <c r="L17" s="60">
        <f>L16/K16-1</f>
        <v/>
      </c>
      <c r="M17" s="60">
        <f>M16/L16-1</f>
        <v/>
      </c>
      <c r="N17" s="60">
        <f>N16/M16-1</f>
        <v/>
      </c>
      <c r="O17" s="60">
        <f>O16/N16-1</f>
        <v/>
      </c>
      <c r="P17" s="60">
        <f>P16/O16-1</f>
        <v/>
      </c>
      <c r="Q17" s="60">
        <f>Q16/P16-1</f>
        <v/>
      </c>
      <c r="R17" s="60">
        <f>R16/Q16-1</f>
        <v/>
      </c>
    </row>
    <row r="18">
      <c r="B18" s="30" t="inlineStr">
        <is>
          <t>of which advertising (memo)</t>
        </is>
      </c>
      <c r="C18" s="7" t="inlineStr">
        <is>
          <t>$mm</t>
        </is>
      </c>
      <c r="G18" s="45" t="n">
        <v>600</v>
      </c>
      <c r="H18" s="45" t="n">
        <v>1500</v>
      </c>
      <c r="I18" s="78">
        <f>CHOOSE('Drivers'!$D$6,'Drivers'!I$81,'Drivers'!I$82,'Drivers'!I$83)</f>
        <v/>
      </c>
      <c r="J18" s="79">
        <f>CHOOSE('Drivers'!$D$6,'Drivers'!J$81,'Drivers'!J$82,'Drivers'!J$83)</f>
        <v/>
      </c>
      <c r="K18" s="79">
        <f>CHOOSE('Drivers'!$D$6,'Drivers'!K$81,'Drivers'!K$82,'Drivers'!K$83)</f>
        <v/>
      </c>
      <c r="L18" s="79">
        <f>CHOOSE('Drivers'!$D$6,'Drivers'!L$81,'Drivers'!L$82,'Drivers'!L$83)</f>
        <v/>
      </c>
      <c r="M18" s="79">
        <f>CHOOSE('Drivers'!$D$6,'Drivers'!M$81,'Drivers'!M$82,'Drivers'!M$83)</f>
        <v/>
      </c>
      <c r="N18" s="79">
        <f>CHOOSE('Drivers'!$D$6,'Drivers'!N$81,'Drivers'!N$82,'Drivers'!N$83)</f>
        <v/>
      </c>
      <c r="O18" s="79">
        <f>CHOOSE('Drivers'!$D$6,'Drivers'!O$81,'Drivers'!O$82,'Drivers'!O$83)</f>
        <v/>
      </c>
      <c r="P18" s="79">
        <f>CHOOSE('Drivers'!$D$6,'Drivers'!P$81,'Drivers'!P$82,'Drivers'!P$83)</f>
        <v/>
      </c>
      <c r="Q18" s="79">
        <f>CHOOSE('Drivers'!$D$6,'Drivers'!Q$81,'Drivers'!Q$82,'Drivers'!Q$83)</f>
        <v/>
      </c>
      <c r="R18" s="79">
        <f>CHOOSE('Drivers'!$D$6,'Drivers'!R$81,'Drivers'!R$82,'Drivers'!R$83)</f>
        <v/>
      </c>
    </row>
    <row r="19">
      <c r="B19" s="30" t="inlineStr">
        <is>
          <t>advertising, % of revenue</t>
        </is>
      </c>
      <c r="C19" s="7" t="inlineStr">
        <is>
          <t>%</t>
        </is>
      </c>
      <c r="G19" s="60">
        <f>G18/G16</f>
        <v/>
      </c>
      <c r="H19" s="60">
        <f>H18/H16</f>
        <v/>
      </c>
      <c r="I19" s="64">
        <f>I18/I16</f>
        <v/>
      </c>
      <c r="J19" s="60">
        <f>J18/J16</f>
        <v/>
      </c>
      <c r="K19" s="60">
        <f>K18/K16</f>
        <v/>
      </c>
      <c r="L19" s="60">
        <f>L18/L16</f>
        <v/>
      </c>
      <c r="M19" s="60">
        <f>M18/M16</f>
        <v/>
      </c>
      <c r="N19" s="60">
        <f>N18/N16</f>
        <v/>
      </c>
      <c r="O19" s="60">
        <f>O18/O16</f>
        <v/>
      </c>
      <c r="P19" s="60">
        <f>P18/P16</f>
        <v/>
      </c>
      <c r="Q19" s="60">
        <f>Q18/Q16</f>
        <v/>
      </c>
      <c r="R19" s="60">
        <f>R18/R16</f>
        <v/>
      </c>
    </row>
    <row r="20">
      <c r="B20" s="30" t="inlineStr">
        <is>
          <t>subscription and other (memo)</t>
        </is>
      </c>
      <c r="C20" s="7" t="inlineStr">
        <is>
          <t>$mm</t>
        </is>
      </c>
      <c r="G20" s="67">
        <f>G16-G18</f>
        <v/>
      </c>
      <c r="H20" s="67">
        <f>H16-H18</f>
        <v/>
      </c>
      <c r="I20" s="80">
        <f>I16-I18</f>
        <v/>
      </c>
      <c r="J20" s="67">
        <f>J16-J18</f>
        <v/>
      </c>
      <c r="K20" s="67">
        <f>K16-K18</f>
        <v/>
      </c>
      <c r="L20" s="67">
        <f>L16-L18</f>
        <v/>
      </c>
      <c r="M20" s="67">
        <f>M16-M18</f>
        <v/>
      </c>
      <c r="N20" s="67">
        <f>N16-N18</f>
        <v/>
      </c>
      <c r="O20" s="67">
        <f>O16-O18</f>
        <v/>
      </c>
      <c r="P20" s="67">
        <f>P16-P18</f>
        <v/>
      </c>
      <c r="Q20" s="67">
        <f>Q16-Q18</f>
        <v/>
      </c>
      <c r="R20" s="67">
        <f>R16-R18</f>
        <v/>
      </c>
    </row>
    <row r="21">
      <c r="B21" s="30" t="inlineStr">
        <is>
          <t>y/y</t>
        </is>
      </c>
      <c r="C21" s="7" t="inlineStr">
        <is>
          <t>%</t>
        </is>
      </c>
      <c r="H21" s="60">
        <f>H20/G20-1</f>
        <v/>
      </c>
      <c r="I21" s="64">
        <f>I20/H20-1</f>
        <v/>
      </c>
      <c r="J21" s="60">
        <f>J20/I20-1</f>
        <v/>
      </c>
      <c r="K21" s="60">
        <f>K20/J20-1</f>
        <v/>
      </c>
      <c r="L21" s="60">
        <f>L20/K20-1</f>
        <v/>
      </c>
      <c r="M21" s="60">
        <f>M20/L20-1</f>
        <v/>
      </c>
      <c r="N21" s="60">
        <f>N20/M20-1</f>
        <v/>
      </c>
      <c r="O21" s="60">
        <f>O20/N20-1</f>
        <v/>
      </c>
      <c r="P21" s="60">
        <f>P20/O20-1</f>
        <v/>
      </c>
      <c r="Q21" s="60">
        <f>Q20/P20-1</f>
        <v/>
      </c>
      <c r="R21" s="60">
        <f>R20/Q20-1</f>
        <v/>
      </c>
    </row>
    <row r="22">
      <c r="I22" s="65" t="n"/>
    </row>
    <row r="23">
      <c r="B23" s="4" t="inlineStr">
        <is>
          <t>INCOME STATEMENT</t>
        </is>
      </c>
      <c r="C23" s="5" t="n"/>
      <c r="D23" s="5" t="n"/>
      <c r="E23" s="5" t="n"/>
      <c r="F23" s="5" t="n"/>
      <c r="G23" s="5" t="n"/>
      <c r="H23" s="5" t="n"/>
      <c r="I23" s="6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B24" s="10" t="inlineStr">
        <is>
          <t>Content amortization</t>
        </is>
      </c>
      <c r="C24" s="7" t="inlineStr">
        <is>
          <t>$mm</t>
        </is>
      </c>
      <c r="F24" s="45" t="n">
        <v>14197</v>
      </c>
      <c r="G24" s="45" t="n">
        <v>15302</v>
      </c>
      <c r="H24" s="45" t="n">
        <v>16422</v>
      </c>
      <c r="I24" s="59">
        <f>H24*(1+I25)</f>
        <v/>
      </c>
      <c r="J24" s="47">
        <f>I24*(1+J25)</f>
        <v/>
      </c>
      <c r="K24" s="47">
        <f>J24*(1+K25)</f>
        <v/>
      </c>
      <c r="L24" s="47">
        <f>K24*(1+L25)</f>
        <v/>
      </c>
      <c r="M24" s="47">
        <f>L24*(1+M25)</f>
        <v/>
      </c>
      <c r="N24" s="47">
        <f>M24*(1+N25)</f>
        <v/>
      </c>
      <c r="O24" s="47">
        <f>N24*(1+O25)</f>
        <v/>
      </c>
      <c r="P24" s="47">
        <f>O24*(1+P25)</f>
        <v/>
      </c>
      <c r="Q24" s="47">
        <f>P24*(1+Q25)</f>
        <v/>
      </c>
      <c r="R24" s="47">
        <f>Q24*(1+R25)</f>
        <v/>
      </c>
    </row>
    <row r="25">
      <c r="B25" s="30" t="inlineStr">
        <is>
          <t>y/y</t>
        </is>
      </c>
      <c r="C25" s="7" t="inlineStr">
        <is>
          <t>%</t>
        </is>
      </c>
      <c r="G25" s="60">
        <f>G24/F24-1</f>
        <v/>
      </c>
      <c r="H25" s="60">
        <f>H24/G24-1</f>
        <v/>
      </c>
      <c r="I25" s="76">
        <f>CHOOSE('Drivers'!$D$6,'Drivers'!I$84,'Drivers'!I$85,'Drivers'!I$86)</f>
        <v/>
      </c>
      <c r="J25" s="77">
        <f>CHOOSE('Drivers'!$D$6,'Drivers'!J$84,'Drivers'!J$85,'Drivers'!J$86)</f>
        <v/>
      </c>
      <c r="K25" s="77">
        <f>CHOOSE('Drivers'!$D$6,'Drivers'!K$84,'Drivers'!K$85,'Drivers'!K$86)</f>
        <v/>
      </c>
      <c r="L25" s="77">
        <f>CHOOSE('Drivers'!$D$6,'Drivers'!L$84,'Drivers'!L$85,'Drivers'!L$86)</f>
        <v/>
      </c>
      <c r="M25" s="77">
        <f>CHOOSE('Drivers'!$D$6,'Drivers'!M$84,'Drivers'!M$85,'Drivers'!M$86)</f>
        <v/>
      </c>
      <c r="N25" s="77">
        <f>CHOOSE('Drivers'!$D$6,'Drivers'!N$84,'Drivers'!N$85,'Drivers'!N$86)</f>
        <v/>
      </c>
      <c r="O25" s="77">
        <f>CHOOSE('Drivers'!$D$6,'Drivers'!O$84,'Drivers'!O$85,'Drivers'!O$86)</f>
        <v/>
      </c>
      <c r="P25" s="77">
        <f>CHOOSE('Drivers'!$D$6,'Drivers'!P$84,'Drivers'!P$85,'Drivers'!P$86)</f>
        <v/>
      </c>
      <c r="Q25" s="77">
        <f>CHOOSE('Drivers'!$D$6,'Drivers'!Q$84,'Drivers'!Q$85,'Drivers'!Q$86)</f>
        <v/>
      </c>
      <c r="R25" s="77">
        <f>CHOOSE('Drivers'!$D$6,'Drivers'!R$84,'Drivers'!R$85,'Drivers'!R$86)</f>
        <v/>
      </c>
    </row>
    <row r="26">
      <c r="B26" s="30" t="inlineStr">
        <is>
          <t>% of revenue</t>
        </is>
      </c>
      <c r="C26" s="7" t="inlineStr">
        <is>
          <t>%</t>
        </is>
      </c>
      <c r="F26" s="60">
        <f>F24/F16</f>
        <v/>
      </c>
      <c r="G26" s="60">
        <f>G24/G16</f>
        <v/>
      </c>
      <c r="H26" s="60">
        <f>H24/H16</f>
        <v/>
      </c>
      <c r="I26" s="64">
        <f>I24/I16</f>
        <v/>
      </c>
      <c r="J26" s="60">
        <f>J24/J16</f>
        <v/>
      </c>
      <c r="K26" s="60">
        <f>K24/K16</f>
        <v/>
      </c>
      <c r="L26" s="60">
        <f>L24/L16</f>
        <v/>
      </c>
      <c r="M26" s="60">
        <f>M24/M16</f>
        <v/>
      </c>
      <c r="N26" s="60">
        <f>N24/N16</f>
        <v/>
      </c>
      <c r="O26" s="60">
        <f>O24/O16</f>
        <v/>
      </c>
      <c r="P26" s="60">
        <f>P24/P16</f>
        <v/>
      </c>
      <c r="Q26" s="60">
        <f>Q24/Q16</f>
        <v/>
      </c>
      <c r="R26" s="60">
        <f>R24/R16</f>
        <v/>
      </c>
    </row>
    <row r="27">
      <c r="B27" s="10" t="inlineStr">
        <is>
          <t>Other cost of revenues</t>
        </is>
      </c>
      <c r="C27" s="7" t="inlineStr">
        <is>
          <t>$mm</t>
        </is>
      </c>
      <c r="F27" s="47">
        <f>19715-14197</f>
        <v/>
      </c>
      <c r="G27" s="47">
        <f>21038-15302</f>
        <v/>
      </c>
      <c r="H27" s="47">
        <f>23275-16422</f>
        <v/>
      </c>
      <c r="I27" s="59">
        <f>I16*I28</f>
        <v/>
      </c>
      <c r="J27" s="47">
        <f>J16*J28</f>
        <v/>
      </c>
      <c r="K27" s="47">
        <f>K16*K28</f>
        <v/>
      </c>
      <c r="L27" s="47">
        <f>L16*L28</f>
        <v/>
      </c>
      <c r="M27" s="47">
        <f>M16*M28</f>
        <v/>
      </c>
      <c r="N27" s="47">
        <f>N16*N28</f>
        <v/>
      </c>
      <c r="O27" s="47">
        <f>O16*O28</f>
        <v/>
      </c>
      <c r="P27" s="47">
        <f>P16*P28</f>
        <v/>
      </c>
      <c r="Q27" s="47">
        <f>Q16*Q28</f>
        <v/>
      </c>
      <c r="R27" s="47">
        <f>R16*R28</f>
        <v/>
      </c>
    </row>
    <row r="28">
      <c r="B28" s="30" t="inlineStr">
        <is>
          <t>% of revenue</t>
        </is>
      </c>
      <c r="C28" s="7" t="inlineStr">
        <is>
          <t>%</t>
        </is>
      </c>
      <c r="F28" s="60">
        <f>F27/F16</f>
        <v/>
      </c>
      <c r="G28" s="60">
        <f>G27/G16</f>
        <v/>
      </c>
      <c r="H28" s="60">
        <f>H27/H16</f>
        <v/>
      </c>
      <c r="I28" s="76">
        <f>CHOOSE('Drivers'!$D$6,'Drivers'!I$87,'Drivers'!I$88,'Drivers'!I$89)</f>
        <v/>
      </c>
      <c r="J28" s="77">
        <f>CHOOSE('Drivers'!$D$6,'Drivers'!J$87,'Drivers'!J$88,'Drivers'!J$89)</f>
        <v/>
      </c>
      <c r="K28" s="77">
        <f>CHOOSE('Drivers'!$D$6,'Drivers'!K$87,'Drivers'!K$88,'Drivers'!K$89)</f>
        <v/>
      </c>
      <c r="L28" s="77">
        <f>CHOOSE('Drivers'!$D$6,'Drivers'!L$87,'Drivers'!L$88,'Drivers'!L$89)</f>
        <v/>
      </c>
      <c r="M28" s="77">
        <f>CHOOSE('Drivers'!$D$6,'Drivers'!M$87,'Drivers'!M$88,'Drivers'!M$89)</f>
        <v/>
      </c>
      <c r="N28" s="77">
        <f>CHOOSE('Drivers'!$D$6,'Drivers'!N$87,'Drivers'!N$88,'Drivers'!N$89)</f>
        <v/>
      </c>
      <c r="O28" s="77">
        <f>CHOOSE('Drivers'!$D$6,'Drivers'!O$87,'Drivers'!O$88,'Drivers'!O$89)</f>
        <v/>
      </c>
      <c r="P28" s="77">
        <f>CHOOSE('Drivers'!$D$6,'Drivers'!P$87,'Drivers'!P$88,'Drivers'!P$89)</f>
        <v/>
      </c>
      <c r="Q28" s="77">
        <f>CHOOSE('Drivers'!$D$6,'Drivers'!Q$87,'Drivers'!Q$88,'Drivers'!Q$89)</f>
        <v/>
      </c>
      <c r="R28" s="77">
        <f>CHOOSE('Drivers'!$D$6,'Drivers'!R$87,'Drivers'!R$88,'Drivers'!R$89)</f>
        <v/>
      </c>
    </row>
    <row r="29">
      <c r="B29" s="6" t="inlineStr">
        <is>
          <t>Gross profit</t>
        </is>
      </c>
      <c r="C29" s="7" t="inlineStr">
        <is>
          <t>$mm</t>
        </is>
      </c>
      <c r="F29" s="56">
        <f>F16-F24-F27</f>
        <v/>
      </c>
      <c r="G29" s="56">
        <f>G16-G24-G27</f>
        <v/>
      </c>
      <c r="H29" s="56">
        <f>H16-H24-H27</f>
        <v/>
      </c>
      <c r="I29" s="61">
        <f>I16-I24-I27</f>
        <v/>
      </c>
      <c r="J29" s="56">
        <f>J16-J24-J27</f>
        <v/>
      </c>
      <c r="K29" s="56">
        <f>K16-K24-K27</f>
        <v/>
      </c>
      <c r="L29" s="56">
        <f>L16-L24-L27</f>
        <v/>
      </c>
      <c r="M29" s="56">
        <f>M16-M24-M27</f>
        <v/>
      </c>
      <c r="N29" s="56">
        <f>N16-N24-N27</f>
        <v/>
      </c>
      <c r="O29" s="56">
        <f>O16-O24-O27</f>
        <v/>
      </c>
      <c r="P29" s="56">
        <f>P16-P24-P27</f>
        <v/>
      </c>
      <c r="Q29" s="56">
        <f>Q16-Q24-Q27</f>
        <v/>
      </c>
      <c r="R29" s="56">
        <f>R16-R24-R27</f>
        <v/>
      </c>
    </row>
    <row r="30">
      <c r="B30" s="30" t="inlineStr">
        <is>
          <t>gross margin</t>
        </is>
      </c>
      <c r="C30" s="7" t="inlineStr">
        <is>
          <t>%</t>
        </is>
      </c>
      <c r="F30" s="60">
        <f>F29/F16</f>
        <v/>
      </c>
      <c r="G30" s="60">
        <f>G29/G16</f>
        <v/>
      </c>
      <c r="H30" s="60">
        <f>H29/H16</f>
        <v/>
      </c>
      <c r="I30" s="64">
        <f>I29/I16</f>
        <v/>
      </c>
      <c r="J30" s="60">
        <f>J29/J16</f>
        <v/>
      </c>
      <c r="K30" s="60">
        <f>K29/K16</f>
        <v/>
      </c>
      <c r="L30" s="60">
        <f>L29/L16</f>
        <v/>
      </c>
      <c r="M30" s="60">
        <f>M29/M16</f>
        <v/>
      </c>
      <c r="N30" s="60">
        <f>N29/N16</f>
        <v/>
      </c>
      <c r="O30" s="60">
        <f>O29/O16</f>
        <v/>
      </c>
      <c r="P30" s="60">
        <f>P29/P16</f>
        <v/>
      </c>
      <c r="Q30" s="60">
        <f>Q29/Q16</f>
        <v/>
      </c>
      <c r="R30" s="60">
        <f>R29/R16</f>
        <v/>
      </c>
    </row>
    <row r="31">
      <c r="B31" s="10" t="inlineStr">
        <is>
          <t>Operating expenses (sales and marketing, technology, G&amp;A)</t>
        </is>
      </c>
      <c r="C31" s="7" t="inlineStr">
        <is>
          <t>$mm</t>
        </is>
      </c>
      <c r="F31" s="47">
        <f>2658+2676+1720</f>
        <v/>
      </c>
      <c r="G31" s="47">
        <f>2918+2925+1702</f>
        <v/>
      </c>
      <c r="H31" s="47">
        <f>3301+3391+1888</f>
        <v/>
      </c>
      <c r="I31" s="59">
        <f>I16*I32</f>
        <v/>
      </c>
      <c r="J31" s="47">
        <f>J16*J32</f>
        <v/>
      </c>
      <c r="K31" s="47">
        <f>K16*K32</f>
        <v/>
      </c>
      <c r="L31" s="47">
        <f>L16*L32</f>
        <v/>
      </c>
      <c r="M31" s="47">
        <f>M16*M32</f>
        <v/>
      </c>
      <c r="N31" s="47">
        <f>N16*N32</f>
        <v/>
      </c>
      <c r="O31" s="47">
        <f>O16*O32</f>
        <v/>
      </c>
      <c r="P31" s="47">
        <f>P16*P32</f>
        <v/>
      </c>
      <c r="Q31" s="47">
        <f>Q16*Q32</f>
        <v/>
      </c>
      <c r="R31" s="47">
        <f>R16*R32</f>
        <v/>
      </c>
    </row>
    <row r="32">
      <c r="B32" s="30" t="inlineStr">
        <is>
          <t>% of revenue</t>
        </is>
      </c>
      <c r="C32" s="7" t="inlineStr">
        <is>
          <t>%</t>
        </is>
      </c>
      <c r="F32" s="60">
        <f>F31/F16</f>
        <v/>
      </c>
      <c r="G32" s="60">
        <f>G31/G16</f>
        <v/>
      </c>
      <c r="H32" s="60">
        <f>H31/H16</f>
        <v/>
      </c>
      <c r="I32" s="76">
        <f>CHOOSE('Drivers'!$D$6,'Drivers'!I$90,'Drivers'!I$91,'Drivers'!I$92)</f>
        <v/>
      </c>
      <c r="J32" s="77">
        <f>CHOOSE('Drivers'!$D$6,'Drivers'!J$90,'Drivers'!J$91,'Drivers'!J$92)</f>
        <v/>
      </c>
      <c r="K32" s="77">
        <f>CHOOSE('Drivers'!$D$6,'Drivers'!K$90,'Drivers'!K$91,'Drivers'!K$92)</f>
        <v/>
      </c>
      <c r="L32" s="77">
        <f>CHOOSE('Drivers'!$D$6,'Drivers'!L$90,'Drivers'!L$91,'Drivers'!L$92)</f>
        <v/>
      </c>
      <c r="M32" s="77">
        <f>CHOOSE('Drivers'!$D$6,'Drivers'!M$90,'Drivers'!M$91,'Drivers'!M$92)</f>
        <v/>
      </c>
      <c r="N32" s="77">
        <f>CHOOSE('Drivers'!$D$6,'Drivers'!N$90,'Drivers'!N$91,'Drivers'!N$92)</f>
        <v/>
      </c>
      <c r="O32" s="77">
        <f>CHOOSE('Drivers'!$D$6,'Drivers'!O$90,'Drivers'!O$91,'Drivers'!O$92)</f>
        <v/>
      </c>
      <c r="P32" s="77">
        <f>CHOOSE('Drivers'!$D$6,'Drivers'!P$90,'Drivers'!P$91,'Drivers'!P$92)</f>
        <v/>
      </c>
      <c r="Q32" s="77">
        <f>CHOOSE('Drivers'!$D$6,'Drivers'!Q$90,'Drivers'!Q$91,'Drivers'!Q$92)</f>
        <v/>
      </c>
      <c r="R32" s="77">
        <f>CHOOSE('Drivers'!$D$6,'Drivers'!R$90,'Drivers'!R$91,'Drivers'!R$92)</f>
        <v/>
      </c>
    </row>
    <row r="33">
      <c r="B33" s="6" t="inlineStr">
        <is>
          <t>Operating income</t>
        </is>
      </c>
      <c r="C33" s="7" t="inlineStr">
        <is>
          <t>$mm</t>
        </is>
      </c>
      <c r="F33" s="56">
        <f>F29-F31</f>
        <v/>
      </c>
      <c r="G33" s="56">
        <f>G29-G31</f>
        <v/>
      </c>
      <c r="H33" s="56">
        <f>H29-H31</f>
        <v/>
      </c>
      <c r="I33" s="61">
        <f>I29-I31</f>
        <v/>
      </c>
      <c r="J33" s="56">
        <f>J29-J31</f>
        <v/>
      </c>
      <c r="K33" s="56">
        <f>K29-K31</f>
        <v/>
      </c>
      <c r="L33" s="56">
        <f>L29-L31</f>
        <v/>
      </c>
      <c r="M33" s="56">
        <f>M29-M31</f>
        <v/>
      </c>
      <c r="N33" s="56">
        <f>N29-N31</f>
        <v/>
      </c>
      <c r="O33" s="56">
        <f>O29-O31</f>
        <v/>
      </c>
      <c r="P33" s="56">
        <f>P29-P31</f>
        <v/>
      </c>
      <c r="Q33" s="56">
        <f>Q29-Q31</f>
        <v/>
      </c>
      <c r="R33" s="56">
        <f>R29-R31</f>
        <v/>
      </c>
    </row>
    <row r="34">
      <c r="B34" s="30" t="inlineStr">
        <is>
          <t>operating margin</t>
        </is>
      </c>
      <c r="C34" s="7" t="inlineStr">
        <is>
          <t>%</t>
        </is>
      </c>
      <c r="F34" s="60">
        <f>F33/F16</f>
        <v/>
      </c>
      <c r="G34" s="60">
        <f>G33/G16</f>
        <v/>
      </c>
      <c r="H34" s="60">
        <f>H33/H16</f>
        <v/>
      </c>
      <c r="I34" s="64">
        <f>I33/I16</f>
        <v/>
      </c>
      <c r="J34" s="60">
        <f>J33/J16</f>
        <v/>
      </c>
      <c r="K34" s="60">
        <f>K33/K16</f>
        <v/>
      </c>
      <c r="L34" s="60">
        <f>L33/L16</f>
        <v/>
      </c>
      <c r="M34" s="60">
        <f>M33/M16</f>
        <v/>
      </c>
      <c r="N34" s="60">
        <f>N33/N16</f>
        <v/>
      </c>
      <c r="O34" s="60">
        <f>O33/O16</f>
        <v/>
      </c>
      <c r="P34" s="60">
        <f>P33/P16</f>
        <v/>
      </c>
      <c r="Q34" s="60">
        <f>Q33/Q16</f>
        <v/>
      </c>
      <c r="R34" s="60">
        <f>R33/R16</f>
        <v/>
      </c>
    </row>
    <row r="35">
      <c r="B35" s="30" t="inlineStr">
        <is>
          <t>y/y</t>
        </is>
      </c>
      <c r="C35" s="7" t="inlineStr">
        <is>
          <t>%</t>
        </is>
      </c>
      <c r="G35" s="60">
        <f>G33/F33-1</f>
        <v/>
      </c>
      <c r="H35" s="60">
        <f>H33/G33-1</f>
        <v/>
      </c>
      <c r="I35" s="64">
        <f>I33/H33-1</f>
        <v/>
      </c>
      <c r="J35" s="60">
        <f>J33/I33-1</f>
        <v/>
      </c>
      <c r="K35" s="60">
        <f>K33/J33-1</f>
        <v/>
      </c>
      <c r="L35" s="60">
        <f>L33/K33-1</f>
        <v/>
      </c>
      <c r="M35" s="60">
        <f>M33/L33-1</f>
        <v/>
      </c>
      <c r="N35" s="60">
        <f>N33/M33-1</f>
        <v/>
      </c>
      <c r="O35" s="60">
        <f>O33/N33-1</f>
        <v/>
      </c>
      <c r="P35" s="60">
        <f>P33/O33-1</f>
        <v/>
      </c>
      <c r="Q35" s="60">
        <f>Q33/P33-1</f>
        <v/>
      </c>
      <c r="R35" s="60">
        <f>R33/Q33-1</f>
        <v/>
      </c>
    </row>
    <row r="36">
      <c r="B36" s="10" t="inlineStr">
        <is>
          <t>Interest expense</t>
        </is>
      </c>
      <c r="C36" s="7" t="inlineStr">
        <is>
          <t>$mm</t>
        </is>
      </c>
      <c r="F36" s="45" t="n">
        <v>-700</v>
      </c>
      <c r="G36" s="45" t="n">
        <v>-719</v>
      </c>
      <c r="H36" s="45" t="n">
        <v>-777</v>
      </c>
      <c r="I36" s="32">
        <f>-H66*'Drivers'!I$62</f>
        <v/>
      </c>
      <c r="J36" s="12">
        <f>-I66*'Drivers'!J$62</f>
        <v/>
      </c>
      <c r="K36" s="12">
        <f>-J66*'Drivers'!K$62</f>
        <v/>
      </c>
      <c r="L36" s="12">
        <f>-K66*'Drivers'!L$62</f>
        <v/>
      </c>
      <c r="M36" s="12">
        <f>-L66*'Drivers'!M$62</f>
        <v/>
      </c>
      <c r="N36" s="12">
        <f>-M66*'Drivers'!N$62</f>
        <v/>
      </c>
      <c r="O36" s="12">
        <f>-N66*'Drivers'!O$62</f>
        <v/>
      </c>
      <c r="P36" s="12">
        <f>-O66*'Drivers'!P$62</f>
        <v/>
      </c>
      <c r="Q36" s="12">
        <f>-P66*'Drivers'!Q$62</f>
        <v/>
      </c>
      <c r="R36" s="12">
        <f>-Q66*'Drivers'!R$62</f>
        <v/>
      </c>
    </row>
    <row r="37">
      <c r="B37" s="10" t="inlineStr">
        <is>
          <t>Interest and other income (expense)</t>
        </is>
      </c>
      <c r="C37" s="7" t="inlineStr">
        <is>
          <t>$mm</t>
        </is>
      </c>
      <c r="F37" s="45" t="n">
        <v>-49</v>
      </c>
      <c r="G37" s="45" t="n">
        <v>267</v>
      </c>
      <c r="H37" s="45" t="n">
        <v>172</v>
      </c>
      <c r="I37" s="32">
        <f>I64*'Drivers'!I$63+I38</f>
        <v/>
      </c>
      <c r="J37" s="12">
        <f>J64*'Drivers'!J$63+J38</f>
        <v/>
      </c>
      <c r="K37" s="12">
        <f>K64*'Drivers'!K$63+K38</f>
        <v/>
      </c>
      <c r="L37" s="12">
        <f>L64*'Drivers'!L$63+L38</f>
        <v/>
      </c>
      <c r="M37" s="12">
        <f>M64*'Drivers'!M$63+M38</f>
        <v/>
      </c>
      <c r="N37" s="12">
        <f>N64*'Drivers'!N$63+N38</f>
        <v/>
      </c>
      <c r="O37" s="12">
        <f>O64*'Drivers'!O$63+O38</f>
        <v/>
      </c>
      <c r="P37" s="12">
        <f>P64*'Drivers'!P$63+P38</f>
        <v/>
      </c>
      <c r="Q37" s="12">
        <f>Q64*'Drivers'!Q$63+Q38</f>
        <v/>
      </c>
      <c r="R37" s="12">
        <f>R64*'Drivers'!R$63+R38</f>
        <v/>
      </c>
    </row>
    <row r="38">
      <c r="B38" s="30" t="inlineStr">
        <is>
          <t>of which one-off (WBD termination fee)</t>
        </is>
      </c>
      <c r="C38" s="7" t="inlineStr">
        <is>
          <t>$mm</t>
        </is>
      </c>
      <c r="F38" s="45" t="n">
        <v>0</v>
      </c>
      <c r="G38" s="45" t="n">
        <v>0</v>
      </c>
      <c r="H38" s="45" t="n">
        <v>0</v>
      </c>
      <c r="I38" s="78">
        <f>'Drivers'!I$64</f>
        <v/>
      </c>
      <c r="J38" s="79">
        <f>'Drivers'!J$64</f>
        <v/>
      </c>
      <c r="K38" s="79">
        <f>'Drivers'!K$64</f>
        <v/>
      </c>
      <c r="L38" s="79">
        <f>'Drivers'!L$64</f>
        <v/>
      </c>
      <c r="M38" s="79">
        <f>'Drivers'!M$64</f>
        <v/>
      </c>
      <c r="N38" s="79">
        <f>'Drivers'!N$64</f>
        <v/>
      </c>
      <c r="O38" s="79">
        <f>'Drivers'!O$64</f>
        <v/>
      </c>
      <c r="P38" s="79">
        <f>'Drivers'!P$64</f>
        <v/>
      </c>
      <c r="Q38" s="79">
        <f>'Drivers'!Q$64</f>
        <v/>
      </c>
      <c r="R38" s="79">
        <f>'Drivers'!R$64</f>
        <v/>
      </c>
    </row>
    <row r="39">
      <c r="B39" s="10" t="inlineStr">
        <is>
          <t>Income before income taxes</t>
        </is>
      </c>
      <c r="C39" s="7" t="inlineStr">
        <is>
          <t>$mm</t>
        </is>
      </c>
      <c r="F39" s="81">
        <f>F33+F36+F37</f>
        <v/>
      </c>
      <c r="G39" s="81">
        <f>G33+G36+G37</f>
        <v/>
      </c>
      <c r="H39" s="81">
        <f>H33+H36+H37</f>
        <v/>
      </c>
      <c r="I39" s="82">
        <f>I33+I36+I37</f>
        <v/>
      </c>
      <c r="J39" s="81">
        <f>J33+J36+J37</f>
        <v/>
      </c>
      <c r="K39" s="81">
        <f>K33+K36+K37</f>
        <v/>
      </c>
      <c r="L39" s="81">
        <f>L33+L36+L37</f>
        <v/>
      </c>
      <c r="M39" s="81">
        <f>M33+M36+M37</f>
        <v/>
      </c>
      <c r="N39" s="81">
        <f>N33+N36+N37</f>
        <v/>
      </c>
      <c r="O39" s="81">
        <f>O33+O36+O37</f>
        <v/>
      </c>
      <c r="P39" s="81">
        <f>P33+P36+P37</f>
        <v/>
      </c>
      <c r="Q39" s="81">
        <f>Q33+Q36+Q37</f>
        <v/>
      </c>
      <c r="R39" s="81">
        <f>R33+R36+R37</f>
        <v/>
      </c>
    </row>
    <row r="40">
      <c r="B40" s="10" t="inlineStr">
        <is>
          <t>Provision for income taxes</t>
        </is>
      </c>
      <c r="C40" s="7" t="inlineStr">
        <is>
          <t>$mm</t>
        </is>
      </c>
      <c r="F40" s="45" t="n">
        <v>797</v>
      </c>
      <c r="G40" s="45" t="n">
        <v>1254</v>
      </c>
      <c r="H40" s="45" t="n">
        <v>1741</v>
      </c>
      <c r="I40" s="59">
        <f>I39*I41</f>
        <v/>
      </c>
      <c r="J40" s="47">
        <f>J39*J41</f>
        <v/>
      </c>
      <c r="K40" s="47">
        <f>K39*K41</f>
        <v/>
      </c>
      <c r="L40" s="47">
        <f>L39*L41</f>
        <v/>
      </c>
      <c r="M40" s="47">
        <f>M39*M41</f>
        <v/>
      </c>
      <c r="N40" s="47">
        <f>N39*N41</f>
        <v/>
      </c>
      <c r="O40" s="47">
        <f>O39*O41</f>
        <v/>
      </c>
      <c r="P40" s="47">
        <f>P39*P41</f>
        <v/>
      </c>
      <c r="Q40" s="47">
        <f>Q39*Q41</f>
        <v/>
      </c>
      <c r="R40" s="47">
        <f>R39*R41</f>
        <v/>
      </c>
    </row>
    <row r="41">
      <c r="B41" s="30" t="inlineStr">
        <is>
          <t>effective tax rate</t>
        </is>
      </c>
      <c r="C41" s="7" t="inlineStr">
        <is>
          <t>%</t>
        </is>
      </c>
      <c r="F41" s="60">
        <f>F40/F39</f>
        <v/>
      </c>
      <c r="G41" s="60">
        <f>G40/G39</f>
        <v/>
      </c>
      <c r="H41" s="60">
        <f>H40/H39</f>
        <v/>
      </c>
      <c r="I41" s="76">
        <f>'Drivers'!I$61</f>
        <v/>
      </c>
      <c r="J41" s="77">
        <f>'Drivers'!J$61</f>
        <v/>
      </c>
      <c r="K41" s="77">
        <f>'Drivers'!K$61</f>
        <v/>
      </c>
      <c r="L41" s="77">
        <f>'Drivers'!L$61</f>
        <v/>
      </c>
      <c r="M41" s="77">
        <f>'Drivers'!M$61</f>
        <v/>
      </c>
      <c r="N41" s="77">
        <f>'Drivers'!N$61</f>
        <v/>
      </c>
      <c r="O41" s="77">
        <f>'Drivers'!O$61</f>
        <v/>
      </c>
      <c r="P41" s="77">
        <f>'Drivers'!P$61</f>
        <v/>
      </c>
      <c r="Q41" s="77">
        <f>'Drivers'!Q$61</f>
        <v/>
      </c>
      <c r="R41" s="77">
        <f>'Drivers'!R$61</f>
        <v/>
      </c>
    </row>
    <row r="42">
      <c r="B42" s="6" t="inlineStr">
        <is>
          <t>Net income</t>
        </is>
      </c>
      <c r="C42" s="7" t="inlineStr">
        <is>
          <t>$mm</t>
        </is>
      </c>
      <c r="F42" s="56">
        <f>F39-F40</f>
        <v/>
      </c>
      <c r="G42" s="56">
        <f>G39-G40</f>
        <v/>
      </c>
      <c r="H42" s="56">
        <f>H39-H40</f>
        <v/>
      </c>
      <c r="I42" s="61">
        <f>I39-I40</f>
        <v/>
      </c>
      <c r="J42" s="56">
        <f>J39-J40</f>
        <v/>
      </c>
      <c r="K42" s="56">
        <f>K39-K40</f>
        <v/>
      </c>
      <c r="L42" s="56">
        <f>L39-L40</f>
        <v/>
      </c>
      <c r="M42" s="56">
        <f>M39-M40</f>
        <v/>
      </c>
      <c r="N42" s="56">
        <f>N39-N40</f>
        <v/>
      </c>
      <c r="O42" s="56">
        <f>O39-O40</f>
        <v/>
      </c>
      <c r="P42" s="56">
        <f>P39-P40</f>
        <v/>
      </c>
      <c r="Q42" s="56">
        <f>Q39-Q40</f>
        <v/>
      </c>
      <c r="R42" s="56">
        <f>R39-R40</f>
        <v/>
      </c>
    </row>
    <row r="43">
      <c r="B43" s="30" t="inlineStr">
        <is>
          <t>net margin</t>
        </is>
      </c>
      <c r="C43" s="7" t="inlineStr">
        <is>
          <t>%</t>
        </is>
      </c>
      <c r="F43" s="60">
        <f>F42/F16</f>
        <v/>
      </c>
      <c r="G43" s="60">
        <f>G42/G16</f>
        <v/>
      </c>
      <c r="H43" s="60">
        <f>H42/H16</f>
        <v/>
      </c>
      <c r="I43" s="64">
        <f>I42/I16</f>
        <v/>
      </c>
      <c r="J43" s="60">
        <f>J42/J16</f>
        <v/>
      </c>
      <c r="K43" s="60">
        <f>K42/K16</f>
        <v/>
      </c>
      <c r="L43" s="60">
        <f>L42/L16</f>
        <v/>
      </c>
      <c r="M43" s="60">
        <f>M42/M16</f>
        <v/>
      </c>
      <c r="N43" s="60">
        <f>N42/N16</f>
        <v/>
      </c>
      <c r="O43" s="60">
        <f>O42/O16</f>
        <v/>
      </c>
      <c r="P43" s="60">
        <f>P42/P16</f>
        <v/>
      </c>
      <c r="Q43" s="60">
        <f>Q42/Q16</f>
        <v/>
      </c>
      <c r="R43" s="60">
        <f>R42/R16</f>
        <v/>
      </c>
    </row>
    <row r="44">
      <c r="B44" s="10" t="inlineStr">
        <is>
          <t>Diluted shares, weighted average</t>
        </is>
      </c>
      <c r="C44" s="7" t="inlineStr">
        <is>
          <t>mm</t>
        </is>
      </c>
      <c r="F44" s="44" t="n">
        <v>4495</v>
      </c>
      <c r="G44" s="44" t="n">
        <v>4393</v>
      </c>
      <c r="H44" s="44" t="n">
        <v>4344</v>
      </c>
      <c r="I44" s="83">
        <f>(H73+I73)/2</f>
        <v/>
      </c>
      <c r="J44" s="84">
        <f>(I73+J73)/2</f>
        <v/>
      </c>
      <c r="K44" s="84">
        <f>(J73+K73)/2</f>
        <v/>
      </c>
      <c r="L44" s="84">
        <f>(K73+L73)/2</f>
        <v/>
      </c>
      <c r="M44" s="84">
        <f>(L73+M73)/2</f>
        <v/>
      </c>
      <c r="N44" s="84">
        <f>(M73+N73)/2</f>
        <v/>
      </c>
      <c r="O44" s="84">
        <f>(N73+O73)/2</f>
        <v/>
      </c>
      <c r="P44" s="84">
        <f>(O73+P73)/2</f>
        <v/>
      </c>
      <c r="Q44" s="84">
        <f>(P73+Q73)/2</f>
        <v/>
      </c>
      <c r="R44" s="84">
        <f>(Q73+R73)/2</f>
        <v/>
      </c>
    </row>
    <row r="45">
      <c r="B45" s="6" t="inlineStr">
        <is>
          <t>Diluted EPS, GAAP</t>
        </is>
      </c>
      <c r="C45" s="7" t="inlineStr">
        <is>
          <t>$</t>
        </is>
      </c>
      <c r="F45" s="69">
        <f>F42/F44</f>
        <v/>
      </c>
      <c r="G45" s="69">
        <f>G42/G44</f>
        <v/>
      </c>
      <c r="H45" s="69">
        <f>H42/H44</f>
        <v/>
      </c>
      <c r="I45" s="70">
        <f>I42/I44</f>
        <v/>
      </c>
      <c r="J45" s="69">
        <f>J42/J44</f>
        <v/>
      </c>
      <c r="K45" s="69">
        <f>K42/K44</f>
        <v/>
      </c>
      <c r="L45" s="69">
        <f>L42/L44</f>
        <v/>
      </c>
      <c r="M45" s="69">
        <f>M42/M44</f>
        <v/>
      </c>
      <c r="N45" s="69">
        <f>N42/N44</f>
        <v/>
      </c>
      <c r="O45" s="69">
        <f>O42/O44</f>
        <v/>
      </c>
      <c r="P45" s="69">
        <f>P42/P44</f>
        <v/>
      </c>
      <c r="Q45" s="69">
        <f>Q42/Q44</f>
        <v/>
      </c>
      <c r="R45" s="69">
        <f>R42/R44</f>
        <v/>
      </c>
    </row>
    <row r="46">
      <c r="B46" s="30" t="inlineStr">
        <is>
          <t>y/y</t>
        </is>
      </c>
      <c r="C46" s="7" t="inlineStr">
        <is>
          <t>%</t>
        </is>
      </c>
      <c r="G46" s="60">
        <f>G45/F45-1</f>
        <v/>
      </c>
      <c r="H46" s="60">
        <f>H45/G45-1</f>
        <v/>
      </c>
      <c r="I46" s="64">
        <f>I45/H45-1</f>
        <v/>
      </c>
      <c r="J46" s="60">
        <f>J45/I45-1</f>
        <v/>
      </c>
      <c r="K46" s="60">
        <f>K45/J45-1</f>
        <v/>
      </c>
      <c r="L46" s="60">
        <f>L45/K45-1</f>
        <v/>
      </c>
      <c r="M46" s="60">
        <f>M45/L45-1</f>
        <v/>
      </c>
      <c r="N46" s="60">
        <f>N45/M45-1</f>
        <v/>
      </c>
      <c r="O46" s="60">
        <f>O45/N45-1</f>
        <v/>
      </c>
      <c r="P46" s="60">
        <f>P45/O45-1</f>
        <v/>
      </c>
      <c r="Q46" s="60">
        <f>Q45/P45-1</f>
        <v/>
      </c>
      <c r="R46" s="60">
        <f>R45/Q45-1</f>
        <v/>
      </c>
    </row>
    <row r="47">
      <c r="B47" s="6" t="inlineStr">
        <is>
          <t>Diluted EPS ex one-offs</t>
        </is>
      </c>
      <c r="C47" s="7" t="inlineStr">
        <is>
          <t>$</t>
        </is>
      </c>
      <c r="F47" s="69">
        <f>(F39-F38)*(1-F41)/F44</f>
        <v/>
      </c>
      <c r="G47" s="69">
        <f>(G39-G38)*(1-G41)/G44</f>
        <v/>
      </c>
      <c r="H47" s="69">
        <f>(H39-H38)*(1-H41)/H44</f>
        <v/>
      </c>
      <c r="I47" s="70">
        <f>(I39-I38)*(1-I41)/I44</f>
        <v/>
      </c>
      <c r="J47" s="69">
        <f>(J39-J38)*(1-J41)/J44</f>
        <v/>
      </c>
      <c r="K47" s="69">
        <f>(K39-K38)*(1-K41)/K44</f>
        <v/>
      </c>
      <c r="L47" s="69">
        <f>(L39-L38)*(1-L41)/L44</f>
        <v/>
      </c>
      <c r="M47" s="69">
        <f>(M39-M38)*(1-M41)/M44</f>
        <v/>
      </c>
      <c r="N47" s="69">
        <f>(N39-N38)*(1-N41)/N44</f>
        <v/>
      </c>
      <c r="O47" s="69">
        <f>(O39-O38)*(1-O41)/O44</f>
        <v/>
      </c>
      <c r="P47" s="69">
        <f>(P39-P38)*(1-P41)/P44</f>
        <v/>
      </c>
      <c r="Q47" s="69">
        <f>(Q39-Q38)*(1-Q41)/Q44</f>
        <v/>
      </c>
      <c r="R47" s="69">
        <f>(R39-R38)*(1-R41)/R44</f>
        <v/>
      </c>
    </row>
    <row r="48">
      <c r="B48" s="30" t="inlineStr">
        <is>
          <t>y/y</t>
        </is>
      </c>
      <c r="C48" s="7" t="inlineStr">
        <is>
          <t>%</t>
        </is>
      </c>
      <c r="G48" s="60">
        <f>G47/F47-1</f>
        <v/>
      </c>
      <c r="H48" s="60">
        <f>H47/G47-1</f>
        <v/>
      </c>
      <c r="I48" s="64">
        <f>I47/H47-1</f>
        <v/>
      </c>
      <c r="J48" s="60">
        <f>J47/I47-1</f>
        <v/>
      </c>
      <c r="K48" s="60">
        <f>K47/J47-1</f>
        <v/>
      </c>
      <c r="L48" s="60">
        <f>L47/K47-1</f>
        <v/>
      </c>
      <c r="M48" s="60">
        <f>M47/L47-1</f>
        <v/>
      </c>
      <c r="N48" s="60">
        <f>N47/M47-1</f>
        <v/>
      </c>
      <c r="O48" s="60">
        <f>O47/N47-1</f>
        <v/>
      </c>
      <c r="P48" s="60">
        <f>P47/O47-1</f>
        <v/>
      </c>
      <c r="Q48" s="60">
        <f>Q47/P47-1</f>
        <v/>
      </c>
      <c r="R48" s="60">
        <f>R47/Q47-1</f>
        <v/>
      </c>
    </row>
    <row r="49">
      <c r="I49" s="65" t="n"/>
    </row>
    <row r="50">
      <c r="B50" s="4" t="inlineStr">
        <is>
          <t>CASH FLOW, BUYBACKS AND NET DEBT</t>
        </is>
      </c>
      <c r="C50" s="5" t="n"/>
      <c r="D50" s="5" t="n"/>
      <c r="E50" s="5" t="n"/>
      <c r="F50" s="5" t="n"/>
      <c r="G50" s="5" t="n"/>
      <c r="H50" s="5" t="n"/>
      <c r="I50" s="6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B51" s="10" t="inlineStr">
        <is>
          <t>NOPAT (operating income after tax)</t>
        </is>
      </c>
      <c r="C51" s="7" t="inlineStr">
        <is>
          <t>$mm</t>
        </is>
      </c>
      <c r="I51" s="59">
        <f>I33*(1-I41)</f>
        <v/>
      </c>
      <c r="J51" s="47">
        <f>J33*(1-J41)</f>
        <v/>
      </c>
      <c r="K51" s="47">
        <f>K33*(1-K41)</f>
        <v/>
      </c>
      <c r="L51" s="47">
        <f>L33*(1-L41)</f>
        <v/>
      </c>
      <c r="M51" s="47">
        <f>M33*(1-M41)</f>
        <v/>
      </c>
      <c r="N51" s="47">
        <f>N33*(1-N41)</f>
        <v/>
      </c>
      <c r="O51" s="47">
        <f>O33*(1-O41)</f>
        <v/>
      </c>
      <c r="P51" s="47">
        <f>P33*(1-P41)</f>
        <v/>
      </c>
      <c r="Q51" s="47">
        <f>Q33*(1-Q41)</f>
        <v/>
      </c>
      <c r="R51" s="47">
        <f>R33*(1-R41)</f>
        <v/>
      </c>
    </row>
    <row r="52">
      <c r="B52" s="10" t="inlineStr">
        <is>
          <t>Plus: content amortization</t>
        </is>
      </c>
      <c r="C52" s="7" t="inlineStr">
        <is>
          <t>$mm</t>
        </is>
      </c>
      <c r="F52" s="45" t="n">
        <v>14197</v>
      </c>
      <c r="G52" s="45" t="n">
        <v>15302</v>
      </c>
      <c r="H52" s="45" t="n">
        <v>16422</v>
      </c>
      <c r="I52" s="59">
        <f>I24</f>
        <v/>
      </c>
      <c r="J52" s="47">
        <f>J24</f>
        <v/>
      </c>
      <c r="K52" s="47">
        <f>K24</f>
        <v/>
      </c>
      <c r="L52" s="47">
        <f>L24</f>
        <v/>
      </c>
      <c r="M52" s="47">
        <f>M24</f>
        <v/>
      </c>
      <c r="N52" s="47">
        <f>N24</f>
        <v/>
      </c>
      <c r="O52" s="47">
        <f>O24</f>
        <v/>
      </c>
      <c r="P52" s="47">
        <f>P24</f>
        <v/>
      </c>
      <c r="Q52" s="47">
        <f>Q24</f>
        <v/>
      </c>
      <c r="R52" s="47">
        <f>R24</f>
        <v/>
      </c>
    </row>
    <row r="53">
      <c r="B53" s="10" t="inlineStr">
        <is>
          <t>Less: cash content spend</t>
        </is>
      </c>
      <c r="C53" s="7" t="inlineStr">
        <is>
          <t>$mm</t>
        </is>
      </c>
      <c r="F53" s="45" t="n">
        <v>-12555</v>
      </c>
      <c r="G53" s="45" t="n">
        <v>-16224</v>
      </c>
      <c r="H53" s="45" t="n">
        <v>-17097</v>
      </c>
      <c r="I53" s="32">
        <f>-I24*'Drivers'!I$56</f>
        <v/>
      </c>
      <c r="J53" s="12">
        <f>-J24*'Drivers'!J$56</f>
        <v/>
      </c>
      <c r="K53" s="12">
        <f>-K24*'Drivers'!K$56</f>
        <v/>
      </c>
      <c r="L53" s="12">
        <f>-L24*'Drivers'!L$56</f>
        <v/>
      </c>
      <c r="M53" s="12">
        <f>-M24*'Drivers'!M$56</f>
        <v/>
      </c>
      <c r="N53" s="12">
        <f>-N24*'Drivers'!N$56</f>
        <v/>
      </c>
      <c r="O53" s="12">
        <f>-O24*'Drivers'!O$56</f>
        <v/>
      </c>
      <c r="P53" s="12">
        <f>-P24*'Drivers'!P$56</f>
        <v/>
      </c>
      <c r="Q53" s="12">
        <f>-Q24*'Drivers'!Q$56</f>
        <v/>
      </c>
      <c r="R53" s="12">
        <f>-R24*'Drivers'!R$56</f>
        <v/>
      </c>
    </row>
    <row r="54">
      <c r="B54" s="30" t="inlineStr">
        <is>
          <t>cash content spend / amortization</t>
        </is>
      </c>
      <c r="C54" s="7" t="inlineStr">
        <is>
          <t>x</t>
        </is>
      </c>
      <c r="F54" s="73">
        <f>-F53/F52</f>
        <v/>
      </c>
      <c r="G54" s="73">
        <f>-G53/G52</f>
        <v/>
      </c>
      <c r="H54" s="73">
        <f>-H53/H52</f>
        <v/>
      </c>
      <c r="I54" s="85">
        <f>-I53/I52</f>
        <v/>
      </c>
      <c r="J54" s="73">
        <f>-J53/J52</f>
        <v/>
      </c>
      <c r="K54" s="73">
        <f>-K53/K52</f>
        <v/>
      </c>
      <c r="L54" s="73">
        <f>-L53/L52</f>
        <v/>
      </c>
      <c r="M54" s="73">
        <f>-M53/M52</f>
        <v/>
      </c>
      <c r="N54" s="73">
        <f>-N53/N52</f>
        <v/>
      </c>
      <c r="O54" s="73">
        <f>-O53/O52</f>
        <v/>
      </c>
      <c r="P54" s="73">
        <f>-P53/P52</f>
        <v/>
      </c>
      <c r="Q54" s="73">
        <f>-Q53/Q52</f>
        <v/>
      </c>
      <c r="R54" s="73">
        <f>-R53/R52</f>
        <v/>
      </c>
    </row>
    <row r="55">
      <c r="B55" s="10" t="inlineStr">
        <is>
          <t>Plus: depreciation and amortization ex content</t>
        </is>
      </c>
      <c r="C55" s="7" t="inlineStr">
        <is>
          <t>$mm</t>
        </is>
      </c>
      <c r="F55" s="45" t="n">
        <v>357</v>
      </c>
      <c r="G55" s="45" t="n">
        <v>329</v>
      </c>
      <c r="H55" s="45" t="n">
        <v>333</v>
      </c>
      <c r="I55" s="32">
        <f>I16*'Drivers'!I$57</f>
        <v/>
      </c>
      <c r="J55" s="12">
        <f>J16*'Drivers'!J$57</f>
        <v/>
      </c>
      <c r="K55" s="12">
        <f>K16*'Drivers'!K$57</f>
        <v/>
      </c>
      <c r="L55" s="12">
        <f>L16*'Drivers'!L$57</f>
        <v/>
      </c>
      <c r="M55" s="12">
        <f>M16*'Drivers'!M$57</f>
        <v/>
      </c>
      <c r="N55" s="12">
        <f>N16*'Drivers'!N$57</f>
        <v/>
      </c>
      <c r="O55" s="12">
        <f>O16*'Drivers'!O$57</f>
        <v/>
      </c>
      <c r="P55" s="12">
        <f>P16*'Drivers'!P$57</f>
        <v/>
      </c>
      <c r="Q55" s="12">
        <f>Q16*'Drivers'!Q$57</f>
        <v/>
      </c>
      <c r="R55" s="12">
        <f>R16*'Drivers'!R$57</f>
        <v/>
      </c>
    </row>
    <row r="56">
      <c r="B56" s="10" t="inlineStr">
        <is>
          <t>Plus: stock-based compensation</t>
        </is>
      </c>
      <c r="C56" s="7" t="inlineStr">
        <is>
          <t>$mm</t>
        </is>
      </c>
      <c r="F56" s="45" t="n">
        <v>339</v>
      </c>
      <c r="G56" s="45" t="n">
        <v>273</v>
      </c>
      <c r="H56" s="45" t="n">
        <v>368</v>
      </c>
      <c r="I56" s="32">
        <f>I16*'Drivers'!I$58</f>
        <v/>
      </c>
      <c r="J56" s="12">
        <f>J16*'Drivers'!J$58</f>
        <v/>
      </c>
      <c r="K56" s="12">
        <f>K16*'Drivers'!K$58</f>
        <v/>
      </c>
      <c r="L56" s="12">
        <f>L16*'Drivers'!L$58</f>
        <v/>
      </c>
      <c r="M56" s="12">
        <f>M16*'Drivers'!M$58</f>
        <v/>
      </c>
      <c r="N56" s="12">
        <f>N16*'Drivers'!N$58</f>
        <v/>
      </c>
      <c r="O56" s="12">
        <f>O16*'Drivers'!O$58</f>
        <v/>
      </c>
      <c r="P56" s="12">
        <f>P16*'Drivers'!P$58</f>
        <v/>
      </c>
      <c r="Q56" s="12">
        <f>Q16*'Drivers'!Q$58</f>
        <v/>
      </c>
      <c r="R56" s="12">
        <f>R16*'Drivers'!R$58</f>
        <v/>
      </c>
    </row>
    <row r="57">
      <c r="B57" s="10" t="inlineStr">
        <is>
          <t>Less: capital expenditures</t>
        </is>
      </c>
      <c r="C57" s="7" t="inlineStr">
        <is>
          <t>$mm</t>
        </is>
      </c>
      <c r="F57" s="45" t="n">
        <v>-349</v>
      </c>
      <c r="G57" s="45" t="n">
        <v>-440</v>
      </c>
      <c r="H57" s="45" t="n">
        <v>-688</v>
      </c>
      <c r="I57" s="32">
        <f>-I16*'Drivers'!I$59</f>
        <v/>
      </c>
      <c r="J57" s="12">
        <f>-J16*'Drivers'!J$59</f>
        <v/>
      </c>
      <c r="K57" s="12">
        <f>-K16*'Drivers'!K$59</f>
        <v/>
      </c>
      <c r="L57" s="12">
        <f>-L16*'Drivers'!L$59</f>
        <v/>
      </c>
      <c r="M57" s="12">
        <f>-M16*'Drivers'!M$59</f>
        <v/>
      </c>
      <c r="N57" s="12">
        <f>-N16*'Drivers'!N$59</f>
        <v/>
      </c>
      <c r="O57" s="12">
        <f>-O16*'Drivers'!O$59</f>
        <v/>
      </c>
      <c r="P57" s="12">
        <f>-P16*'Drivers'!P$59</f>
        <v/>
      </c>
      <c r="Q57" s="12">
        <f>-Q16*'Drivers'!Q$59</f>
        <v/>
      </c>
      <c r="R57" s="12">
        <f>-R16*'Drivers'!R$59</f>
        <v/>
      </c>
    </row>
    <row r="58">
      <c r="B58" s="10" t="inlineStr">
        <is>
          <t>Other operating cash items</t>
        </is>
      </c>
      <c r="C58" s="7" t="inlineStr">
        <is>
          <t>$mm</t>
        </is>
      </c>
      <c r="F58" s="47">
        <f>7274-5408-14197+12555-357-339</f>
        <v/>
      </c>
      <c r="G58" s="47">
        <f>7361-8712-15302+16224-329-273</f>
        <v/>
      </c>
      <c r="H58" s="47">
        <f>10149-10981-16422+17097-333-368</f>
        <v/>
      </c>
      <c r="I58" s="32">
        <f>I16*'Drivers'!I$60</f>
        <v/>
      </c>
      <c r="J58" s="12">
        <f>J16*'Drivers'!J$60</f>
        <v/>
      </c>
      <c r="K58" s="12">
        <f>K16*'Drivers'!K$60</f>
        <v/>
      </c>
      <c r="L58" s="12">
        <f>L16*'Drivers'!L$60</f>
        <v/>
      </c>
      <c r="M58" s="12">
        <f>M16*'Drivers'!M$60</f>
        <v/>
      </c>
      <c r="N58" s="12">
        <f>N16*'Drivers'!N$60</f>
        <v/>
      </c>
      <c r="O58" s="12">
        <f>O16*'Drivers'!O$60</f>
        <v/>
      </c>
      <c r="P58" s="12">
        <f>P16*'Drivers'!P$60</f>
        <v/>
      </c>
      <c r="Q58" s="12">
        <f>Q16*'Drivers'!Q$60</f>
        <v/>
      </c>
      <c r="R58" s="12">
        <f>R16*'Drivers'!R$60</f>
        <v/>
      </c>
    </row>
    <row r="59">
      <c r="B59" s="6" t="inlineStr">
        <is>
          <t>Unlevered free cash flow</t>
        </is>
      </c>
      <c r="C59" s="7" t="inlineStr">
        <is>
          <t>$mm</t>
        </is>
      </c>
      <c r="I59" s="61">
        <f>I51+I52+I53+I55+I56+I57+I58</f>
        <v/>
      </c>
      <c r="J59" s="56">
        <f>J51+J52+J53+J55+J56+J57+J58</f>
        <v/>
      </c>
      <c r="K59" s="56">
        <f>K51+K52+K53+K55+K56+K57+K58</f>
        <v/>
      </c>
      <c r="L59" s="56">
        <f>L51+L52+L53+L55+L56+L57+L58</f>
        <v/>
      </c>
      <c r="M59" s="56">
        <f>M51+M52+M53+M55+M56+M57+M58</f>
        <v/>
      </c>
      <c r="N59" s="56">
        <f>N51+N52+N53+N55+N56+N57+N58</f>
        <v/>
      </c>
      <c r="O59" s="56">
        <f>O51+O52+O53+O55+O56+O57+O58</f>
        <v/>
      </c>
      <c r="P59" s="56">
        <f>P51+P52+P53+P55+P56+P57+P58</f>
        <v/>
      </c>
      <c r="Q59" s="56">
        <f>Q51+Q52+Q53+Q55+Q56+Q57+Q58</f>
        <v/>
      </c>
      <c r="R59" s="56">
        <f>R51+R52+R53+R55+R56+R57+R58</f>
        <v/>
      </c>
    </row>
    <row r="60">
      <c r="B60" s="10" t="inlineStr">
        <is>
          <t>Plus: interest and other income, after tax</t>
        </is>
      </c>
      <c r="C60" s="7" t="inlineStr">
        <is>
          <t>$mm</t>
        </is>
      </c>
      <c r="I60" s="59">
        <f>(I36+I37)*(1-I41)</f>
        <v/>
      </c>
      <c r="J60" s="47">
        <f>(J36+J37)*(1-J41)</f>
        <v/>
      </c>
      <c r="K60" s="47">
        <f>(K36+K37)*(1-K41)</f>
        <v/>
      </c>
      <c r="L60" s="47">
        <f>(L36+L37)*(1-L41)</f>
        <v/>
      </c>
      <c r="M60" s="47">
        <f>(M36+M37)*(1-M41)</f>
        <v/>
      </c>
      <c r="N60" s="47">
        <f>(N36+N37)*(1-N41)</f>
        <v/>
      </c>
      <c r="O60" s="47">
        <f>(O36+O37)*(1-O41)</f>
        <v/>
      </c>
      <c r="P60" s="47">
        <f>(P36+P37)*(1-P41)</f>
        <v/>
      </c>
      <c r="Q60" s="47">
        <f>(Q36+Q37)*(1-Q41)</f>
        <v/>
      </c>
      <c r="R60" s="47">
        <f>(R36+R37)*(1-R41)</f>
        <v/>
      </c>
    </row>
    <row r="61">
      <c r="B61" s="6" t="inlineStr">
        <is>
          <t>Free cash flow</t>
        </is>
      </c>
      <c r="C61" s="7" t="inlineStr">
        <is>
          <t>$mm</t>
        </is>
      </c>
      <c r="F61" s="46">
        <f>7274-349</f>
        <v/>
      </c>
      <c r="G61" s="46">
        <f>7361-440</f>
        <v/>
      </c>
      <c r="H61" s="46">
        <f>10149-688</f>
        <v/>
      </c>
      <c r="I61" s="72">
        <f>I59+I60</f>
        <v/>
      </c>
      <c r="J61" s="46">
        <f>J59+J60</f>
        <v/>
      </c>
      <c r="K61" s="46">
        <f>K59+K60</f>
        <v/>
      </c>
      <c r="L61" s="46">
        <f>L59+L60</f>
        <v/>
      </c>
      <c r="M61" s="46">
        <f>M59+M60</f>
        <v/>
      </c>
      <c r="N61" s="46">
        <f>N59+N60</f>
        <v/>
      </c>
      <c r="O61" s="46">
        <f>O59+O60</f>
        <v/>
      </c>
      <c r="P61" s="46">
        <f>P59+P60</f>
        <v/>
      </c>
      <c r="Q61" s="46">
        <f>Q59+Q60</f>
        <v/>
      </c>
      <c r="R61" s="46">
        <f>R59+R60</f>
        <v/>
      </c>
    </row>
    <row r="62">
      <c r="B62" s="30" t="inlineStr">
        <is>
          <t>FCF margin</t>
        </is>
      </c>
      <c r="C62" s="7" t="inlineStr">
        <is>
          <t>%</t>
        </is>
      </c>
      <c r="F62" s="60">
        <f>F61/F16</f>
        <v/>
      </c>
      <c r="G62" s="60">
        <f>G61/G16</f>
        <v/>
      </c>
      <c r="H62" s="60">
        <f>H61/H16</f>
        <v/>
      </c>
      <c r="I62" s="64">
        <f>I61/I16</f>
        <v/>
      </c>
      <c r="J62" s="60">
        <f>J61/J16</f>
        <v/>
      </c>
      <c r="K62" s="60">
        <f>K61/K16</f>
        <v/>
      </c>
      <c r="L62" s="60">
        <f>L61/L16</f>
        <v/>
      </c>
      <c r="M62" s="60">
        <f>M61/M16</f>
        <v/>
      </c>
      <c r="N62" s="60">
        <f>N61/N16</f>
        <v/>
      </c>
      <c r="O62" s="60">
        <f>O61/O16</f>
        <v/>
      </c>
      <c r="P62" s="60">
        <f>P61/P16</f>
        <v/>
      </c>
      <c r="Q62" s="60">
        <f>Q61/Q16</f>
        <v/>
      </c>
      <c r="R62" s="60">
        <f>R61/R16</f>
        <v/>
      </c>
    </row>
    <row r="63">
      <c r="B63" s="30" t="inlineStr">
        <is>
          <t>FCF ex one-offs</t>
        </is>
      </c>
      <c r="C63" s="7" t="inlineStr">
        <is>
          <t>$mm</t>
        </is>
      </c>
      <c r="F63" s="67">
        <f>F61</f>
        <v/>
      </c>
      <c r="G63" s="67">
        <f>G61</f>
        <v/>
      </c>
      <c r="H63" s="67">
        <f>H61</f>
        <v/>
      </c>
      <c r="I63" s="80">
        <f>I61-I38*(1-I41)</f>
        <v/>
      </c>
      <c r="J63" s="67">
        <f>J61-J38*(1-J41)</f>
        <v/>
      </c>
      <c r="K63" s="67">
        <f>K61-K38*(1-K41)</f>
        <v/>
      </c>
      <c r="L63" s="67">
        <f>L61-L38*(1-L41)</f>
        <v/>
      </c>
      <c r="M63" s="67">
        <f>M61-M38*(1-M41)</f>
        <v/>
      </c>
      <c r="N63" s="67">
        <f>N61-N38*(1-N41)</f>
        <v/>
      </c>
      <c r="O63" s="67">
        <f>O61-O38*(1-O41)</f>
        <v/>
      </c>
      <c r="P63" s="67">
        <f>P61-P38*(1-P41)</f>
        <v/>
      </c>
      <c r="Q63" s="67">
        <f>Q61-Q38*(1-Q41)</f>
        <v/>
      </c>
      <c r="R63" s="67">
        <f>R61-R38*(1-R41)</f>
        <v/>
      </c>
    </row>
    <row r="64">
      <c r="B64" s="10" t="inlineStr">
        <is>
          <t>Cash, beginning of year</t>
        </is>
      </c>
      <c r="C64" s="7" t="inlineStr">
        <is>
          <t>$mm</t>
        </is>
      </c>
      <c r="I64" s="59">
        <f>H70</f>
        <v/>
      </c>
      <c r="J64" s="47">
        <f>I70</f>
        <v/>
      </c>
      <c r="K64" s="47">
        <f>J70</f>
        <v/>
      </c>
      <c r="L64" s="47">
        <f>K70</f>
        <v/>
      </c>
      <c r="M64" s="47">
        <f>L70</f>
        <v/>
      </c>
      <c r="N64" s="47">
        <f>M70</f>
        <v/>
      </c>
      <c r="O64" s="47">
        <f>N70</f>
        <v/>
      </c>
      <c r="P64" s="47">
        <f>O70</f>
        <v/>
      </c>
      <c r="Q64" s="47">
        <f>P70</f>
        <v/>
      </c>
      <c r="R64" s="47">
        <f>Q70</f>
        <v/>
      </c>
    </row>
    <row r="65">
      <c r="B65" s="10" t="inlineStr">
        <is>
          <t>Cash held  (months of revenue)</t>
        </is>
      </c>
      <c r="C65" s="7" t="inlineStr">
        <is>
          <t>$mm</t>
        </is>
      </c>
      <c r="I65" s="32">
        <f>I16*'Drivers'!$D$32/12</f>
        <v/>
      </c>
      <c r="J65" s="12">
        <f>J16*'Drivers'!$D$32/12</f>
        <v/>
      </c>
      <c r="K65" s="12">
        <f>K16*'Drivers'!$D$32/12</f>
        <v/>
      </c>
      <c r="L65" s="12">
        <f>L16*'Drivers'!$D$32/12</f>
        <v/>
      </c>
      <c r="M65" s="12">
        <f>M16*'Drivers'!$D$32/12</f>
        <v/>
      </c>
      <c r="N65" s="12">
        <f>N16*'Drivers'!$D$32/12</f>
        <v/>
      </c>
      <c r="O65" s="12">
        <f>O16*'Drivers'!$D$32/12</f>
        <v/>
      </c>
      <c r="P65" s="12">
        <f>P16*'Drivers'!$D$32/12</f>
        <v/>
      </c>
      <c r="Q65" s="12">
        <f>Q16*'Drivers'!$D$32/12</f>
        <v/>
      </c>
      <c r="R65" s="12">
        <f>R16*'Drivers'!$D$32/12</f>
        <v/>
      </c>
    </row>
    <row r="66">
      <c r="B66" s="10" t="inlineStr">
        <is>
          <t>Gross debt, end of year</t>
        </is>
      </c>
      <c r="C66" s="7" t="inlineStr">
        <is>
          <t>$mm</t>
        </is>
      </c>
      <c r="F66" s="45" t="n">
        <v>14543</v>
      </c>
      <c r="G66" s="45" t="n">
        <v>15583</v>
      </c>
      <c r="H66" s="45" t="n">
        <v>14463</v>
      </c>
      <c r="I66" s="32">
        <f>'Drivers'!I$65</f>
        <v/>
      </c>
      <c r="J66" s="12">
        <f>'Drivers'!J$65</f>
        <v/>
      </c>
      <c r="K66" s="12">
        <f>'Drivers'!K$65</f>
        <v/>
      </c>
      <c r="L66" s="12">
        <f>'Drivers'!L$65</f>
        <v/>
      </c>
      <c r="M66" s="12">
        <f>'Drivers'!M$65</f>
        <v/>
      </c>
      <c r="N66" s="12">
        <f>'Drivers'!N$65</f>
        <v/>
      </c>
      <c r="O66" s="12">
        <f>'Drivers'!O$65</f>
        <v/>
      </c>
      <c r="P66" s="12">
        <f>'Drivers'!P$65</f>
        <v/>
      </c>
      <c r="Q66" s="12">
        <f>'Drivers'!Q$65</f>
        <v/>
      </c>
      <c r="R66" s="12">
        <f>'Drivers'!R$65</f>
        <v/>
      </c>
    </row>
    <row r="67">
      <c r="B67" s="10" t="inlineStr">
        <is>
          <t>Debt issued / (repaid)</t>
        </is>
      </c>
      <c r="C67" s="7" t="inlineStr">
        <is>
          <t>$mm</t>
        </is>
      </c>
      <c r="I67" s="59">
        <f>I66-H66</f>
        <v/>
      </c>
      <c r="J67" s="47">
        <f>J66-I66</f>
        <v/>
      </c>
      <c r="K67" s="47">
        <f>K66-J66</f>
        <v/>
      </c>
      <c r="L67" s="47">
        <f>L66-K66</f>
        <v/>
      </c>
      <c r="M67" s="47">
        <f>M66-L66</f>
        <v/>
      </c>
      <c r="N67" s="47">
        <f>N66-M66</f>
        <v/>
      </c>
      <c r="O67" s="47">
        <f>O66-N66</f>
        <v/>
      </c>
      <c r="P67" s="47">
        <f>P66-O66</f>
        <v/>
      </c>
      <c r="Q67" s="47">
        <f>Q66-P66</f>
        <v/>
      </c>
      <c r="R67" s="47">
        <f>R66-Q66</f>
        <v/>
      </c>
    </row>
    <row r="68">
      <c r="B68" s="10" t="inlineStr">
        <is>
          <t>Share repurchases  (cash above the holding level)</t>
        </is>
      </c>
      <c r="C68" s="7" t="inlineStr">
        <is>
          <t>$mm</t>
        </is>
      </c>
      <c r="F68" s="45" t="n">
        <v>-6045</v>
      </c>
      <c r="G68" s="45" t="n">
        <v>-6264</v>
      </c>
      <c r="H68" s="45" t="n">
        <v>-9127</v>
      </c>
      <c r="I68" s="59">
        <f>-MAX(0,I64+I61+I67-I65)</f>
        <v/>
      </c>
      <c r="J68" s="47">
        <f>-MAX(0,J64+J61+J67-J65)</f>
        <v/>
      </c>
      <c r="K68" s="47">
        <f>-MAX(0,K64+K61+K67-K65)</f>
        <v/>
      </c>
      <c r="L68" s="47">
        <f>-MAX(0,L64+L61+L67-L65)</f>
        <v/>
      </c>
      <c r="M68" s="47">
        <f>-MAX(0,M64+M61+M67-M65)</f>
        <v/>
      </c>
      <c r="N68" s="47">
        <f>-MAX(0,N64+N61+N67-N65)</f>
        <v/>
      </c>
      <c r="O68" s="47">
        <f>-MAX(0,O64+O61+O67-O65)</f>
        <v/>
      </c>
      <c r="P68" s="47">
        <f>-MAX(0,P64+P61+P67-P65)</f>
        <v/>
      </c>
      <c r="Q68" s="47">
        <f>-MAX(0,Q64+Q61+Q67-Q65)</f>
        <v/>
      </c>
      <c r="R68" s="47">
        <f>-MAX(0,R64+R61+R67-R65)</f>
        <v/>
      </c>
    </row>
    <row r="69">
      <c r="B69" s="30" t="inlineStr">
        <is>
          <t>repurchase price</t>
        </is>
      </c>
      <c r="C69" s="7" t="inlineStr">
        <is>
          <t>$</t>
        </is>
      </c>
      <c r="I69" s="86">
        <f>'Drivers'!$D$34</f>
        <v/>
      </c>
      <c r="J69" s="87">
        <f>'Drivers'!$D$7*(1+'Drivers'!$D$35)^(J$6-$I$6)</f>
        <v/>
      </c>
      <c r="K69" s="87">
        <f>'Drivers'!$D$7*(1+'Drivers'!$D$35)^(K$6-$I$6)</f>
        <v/>
      </c>
      <c r="L69" s="87">
        <f>'Drivers'!$D$7*(1+'Drivers'!$D$35)^(L$6-$I$6)</f>
        <v/>
      </c>
      <c r="M69" s="87">
        <f>'Drivers'!$D$7*(1+'Drivers'!$D$35)^(M$6-$I$6)</f>
        <v/>
      </c>
      <c r="N69" s="87">
        <f>'Drivers'!$D$7*(1+'Drivers'!$D$35)^(N$6-$I$6)</f>
        <v/>
      </c>
      <c r="O69" s="87">
        <f>'Drivers'!$D$7*(1+'Drivers'!$D$35)^(O$6-$I$6)</f>
        <v/>
      </c>
      <c r="P69" s="87">
        <f>'Drivers'!$D$7*(1+'Drivers'!$D$35)^(P$6-$I$6)</f>
        <v/>
      </c>
      <c r="Q69" s="87">
        <f>'Drivers'!$D$7*(1+'Drivers'!$D$35)^(Q$6-$I$6)</f>
        <v/>
      </c>
      <c r="R69" s="87">
        <f>'Drivers'!$D$7*(1+'Drivers'!$D$35)^(R$6-$I$6)</f>
        <v/>
      </c>
    </row>
    <row r="70">
      <c r="B70" s="10" t="inlineStr">
        <is>
          <t>Cash, end of year</t>
        </is>
      </c>
      <c r="C70" s="7" t="inlineStr">
        <is>
          <t>$mm</t>
        </is>
      </c>
      <c r="F70" s="45" t="n">
        <v>7139</v>
      </c>
      <c r="G70" s="45" t="n">
        <v>9586</v>
      </c>
      <c r="H70" s="45" t="n">
        <v>9068</v>
      </c>
      <c r="I70" s="59">
        <f>I64+I61+I67+I68</f>
        <v/>
      </c>
      <c r="J70" s="47">
        <f>J64+J61+J67+J68</f>
        <v/>
      </c>
      <c r="K70" s="47">
        <f>K64+K61+K67+K68</f>
        <v/>
      </c>
      <c r="L70" s="47">
        <f>L64+L61+L67+L68</f>
        <v/>
      </c>
      <c r="M70" s="47">
        <f>M64+M61+M67+M68</f>
        <v/>
      </c>
      <c r="N70" s="47">
        <f>N64+N61+N67+N68</f>
        <v/>
      </c>
      <c r="O70" s="47">
        <f>O64+O61+O67+O68</f>
        <v/>
      </c>
      <c r="P70" s="47">
        <f>P64+P61+P67+P68</f>
        <v/>
      </c>
      <c r="Q70" s="47">
        <f>Q64+Q61+Q67+Q68</f>
        <v/>
      </c>
      <c r="R70" s="47">
        <f>R64+R61+R67+R68</f>
        <v/>
      </c>
    </row>
    <row r="71">
      <c r="B71" s="6" t="inlineStr">
        <is>
          <t>Net debt, end of year</t>
        </is>
      </c>
      <c r="C71" s="7" t="inlineStr">
        <is>
          <t>$mm</t>
        </is>
      </c>
      <c r="F71" s="56">
        <f>F66-F70</f>
        <v/>
      </c>
      <c r="G71" s="56">
        <f>G66-G70</f>
        <v/>
      </c>
      <c r="H71" s="56">
        <f>H66-H70</f>
        <v/>
      </c>
      <c r="I71" s="61">
        <f>I66-I70</f>
        <v/>
      </c>
      <c r="J71" s="56">
        <f>J66-J70</f>
        <v/>
      </c>
      <c r="K71" s="56">
        <f>K66-K70</f>
        <v/>
      </c>
      <c r="L71" s="56">
        <f>L66-L70</f>
        <v/>
      </c>
      <c r="M71" s="56">
        <f>M66-M70</f>
        <v/>
      </c>
      <c r="N71" s="56">
        <f>N66-N70</f>
        <v/>
      </c>
      <c r="O71" s="56">
        <f>O66-O70</f>
        <v/>
      </c>
      <c r="P71" s="56">
        <f>P66-P70</f>
        <v/>
      </c>
      <c r="Q71" s="56">
        <f>Q66-Q70</f>
        <v/>
      </c>
      <c r="R71" s="56">
        <f>R66-R70</f>
        <v/>
      </c>
    </row>
    <row r="72">
      <c r="B72" s="30" t="inlineStr">
        <is>
          <t>Net debt / EBITDA</t>
        </is>
      </c>
      <c r="C72" s="7" t="inlineStr">
        <is>
          <t>x</t>
        </is>
      </c>
      <c r="F72" s="88">
        <f>F71/(F33+F55)</f>
        <v/>
      </c>
      <c r="G72" s="88">
        <f>G71/(G33+G55)</f>
        <v/>
      </c>
      <c r="H72" s="88">
        <f>H71/(H33+H55)</f>
        <v/>
      </c>
      <c r="I72" s="89">
        <f>I71/(I33+I55)</f>
        <v/>
      </c>
      <c r="J72" s="88">
        <f>J71/(J33+J55)</f>
        <v/>
      </c>
      <c r="K72" s="88">
        <f>K71/(K33+K55)</f>
        <v/>
      </c>
      <c r="L72" s="88">
        <f>L71/(L33+L55)</f>
        <v/>
      </c>
      <c r="M72" s="88">
        <f>M71/(M33+M55)</f>
        <v/>
      </c>
      <c r="N72" s="88">
        <f>N71/(N33+N55)</f>
        <v/>
      </c>
      <c r="O72" s="88">
        <f>O71/(O33+O55)</f>
        <v/>
      </c>
      <c r="P72" s="88">
        <f>P71/(P33+P55)</f>
        <v/>
      </c>
      <c r="Q72" s="88">
        <f>Q71/(Q33+Q55)</f>
        <v/>
      </c>
      <c r="R72" s="88">
        <f>R71/(R33+R55)</f>
        <v/>
      </c>
    </row>
    <row r="73">
      <c r="B73" s="10" t="inlineStr">
        <is>
          <t>Diluted shares, end of year</t>
        </is>
      </c>
      <c r="C73" s="7" t="inlineStr">
        <is>
          <t>mm</t>
        </is>
      </c>
      <c r="F73" s="44" t="n">
        <v>4428</v>
      </c>
      <c r="G73" s="44" t="n">
        <v>4358</v>
      </c>
      <c r="H73" s="44" t="n">
        <v>4300</v>
      </c>
      <c r="I73" s="35">
        <f>H73*(1+'Drivers'!$D$33)+I68/I69</f>
        <v/>
      </c>
      <c r="J73" s="11">
        <f>I73*(1+'Drivers'!$D$33)+J68/J69</f>
        <v/>
      </c>
      <c r="K73" s="11">
        <f>J73*(1+'Drivers'!$D$33)+K68/K69</f>
        <v/>
      </c>
      <c r="L73" s="11">
        <f>K73*(1+'Drivers'!$D$33)+L68/L69</f>
        <v/>
      </c>
      <c r="M73" s="11">
        <f>L73*(1+'Drivers'!$D$33)+M68/M69</f>
        <v/>
      </c>
      <c r="N73" s="11">
        <f>M73*(1+'Drivers'!$D$33)+N68/N69</f>
        <v/>
      </c>
      <c r="O73" s="11">
        <f>N73*(1+'Drivers'!$D$33)+O68/O69</f>
        <v/>
      </c>
      <c r="P73" s="11">
        <f>O73*(1+'Drivers'!$D$33)+P68/P69</f>
        <v/>
      </c>
      <c r="Q73" s="11">
        <f>P73*(1+'Drivers'!$D$33)+Q68/Q69</f>
        <v/>
      </c>
      <c r="R73" s="11">
        <f>Q73*(1+'Drivers'!$D$33)+R68/R69</f>
        <v/>
      </c>
    </row>
    <row r="74">
      <c r="B74" s="30" t="inlineStr">
        <is>
          <t>net share reduction</t>
        </is>
      </c>
      <c r="C74" s="7" t="inlineStr">
        <is>
          <t>%</t>
        </is>
      </c>
      <c r="G74" s="60">
        <f>1-G73/F73</f>
        <v/>
      </c>
      <c r="H74" s="60">
        <f>1-H73/G73</f>
        <v/>
      </c>
      <c r="I74" s="64">
        <f>1-I73/H73</f>
        <v/>
      </c>
      <c r="J74" s="60">
        <f>1-J73/I73</f>
        <v/>
      </c>
      <c r="K74" s="60">
        <f>1-K73/J73</f>
        <v/>
      </c>
      <c r="L74" s="60">
        <f>1-L73/K73</f>
        <v/>
      </c>
      <c r="M74" s="60">
        <f>1-M73/L73</f>
        <v/>
      </c>
      <c r="N74" s="60">
        <f>1-N73/M73</f>
        <v/>
      </c>
      <c r="O74" s="60">
        <f>1-O73/N73</f>
        <v/>
      </c>
      <c r="P74" s="60">
        <f>1-P73/O73</f>
        <v/>
      </c>
      <c r="Q74" s="60">
        <f>1-Q73/P73</f>
        <v/>
      </c>
      <c r="R74" s="60">
        <f>1-R73/Q73</f>
        <v/>
      </c>
    </row>
    <row r="75">
      <c r="B75" s="2" t="inlineStr">
        <is>
          <t>Content obligations, year end (memo)</t>
        </is>
      </c>
      <c r="C75" s="7" t="inlineStr">
        <is>
          <t>$mm</t>
        </is>
      </c>
      <c r="F75" s="45" t="n">
        <v>21700</v>
      </c>
      <c r="G75" s="45" t="n">
        <v>23200</v>
      </c>
      <c r="H75" s="45" t="n">
        <v>24039</v>
      </c>
      <c r="I75" s="65" t="n"/>
    </row>
    <row r="77">
      <c r="B77" s="4" t="inlineStr">
        <is>
          <t>REPORTED MEMO AND TIES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B78" s="10" t="inlineStr">
        <is>
          <t>Operating income, reported</t>
        </is>
      </c>
      <c r="C78" s="7" t="inlineStr">
        <is>
          <t>$mm</t>
        </is>
      </c>
      <c r="F78" s="45" t="n">
        <v>6954</v>
      </c>
      <c r="G78" s="45" t="n">
        <v>10418</v>
      </c>
      <c r="H78" s="45" t="n">
        <v>13327</v>
      </c>
    </row>
    <row r="79">
      <c r="B79" s="10" t="inlineStr">
        <is>
          <t>Net income, reported</t>
        </is>
      </c>
      <c r="C79" s="7" t="inlineStr">
        <is>
          <t>$mm</t>
        </is>
      </c>
      <c r="F79" s="45" t="n">
        <v>5408</v>
      </c>
      <c r="G79" s="45" t="n">
        <v>8712</v>
      </c>
      <c r="H79" s="45" t="n">
        <v>10981</v>
      </c>
    </row>
    <row r="80">
      <c r="B80" s="10" t="inlineStr">
        <is>
          <t>Diluted EPS, reported</t>
        </is>
      </c>
      <c r="C80" s="7" t="inlineStr">
        <is>
          <t>$</t>
        </is>
      </c>
      <c r="F80" s="54" t="n">
        <v>1.2</v>
      </c>
      <c r="G80" s="54" t="n">
        <v>1.98</v>
      </c>
      <c r="H80" s="54" t="n">
        <v>2.53</v>
      </c>
    </row>
    <row r="81">
      <c r="B81" s="10" t="inlineStr">
        <is>
          <t>Cash from operations, reported</t>
        </is>
      </c>
      <c r="C81" s="7" t="inlineStr">
        <is>
          <t>$mm</t>
        </is>
      </c>
      <c r="F81" s="45" t="n">
        <v>7274</v>
      </c>
      <c r="G81" s="45" t="n">
        <v>7361</v>
      </c>
      <c r="H81" s="45" t="n">
        <v>10149</v>
      </c>
    </row>
    <row r="82">
      <c r="B82" s="10" t="inlineStr">
        <is>
          <t>Sales and marketing</t>
        </is>
      </c>
      <c r="C82" s="7" t="inlineStr">
        <is>
          <t>$mm</t>
        </is>
      </c>
      <c r="F82" s="45" t="n">
        <v>2658</v>
      </c>
      <c r="G82" s="45" t="n">
        <v>2918</v>
      </c>
      <c r="H82" s="45" t="n">
        <v>3301</v>
      </c>
    </row>
    <row r="83">
      <c r="B83" s="10" t="inlineStr">
        <is>
          <t>Technology and development</t>
        </is>
      </c>
      <c r="C83" s="7" t="inlineStr">
        <is>
          <t>$mm</t>
        </is>
      </c>
      <c r="F83" s="45" t="n">
        <v>2676</v>
      </c>
      <c r="G83" s="45" t="n">
        <v>2925</v>
      </c>
      <c r="H83" s="45" t="n">
        <v>3391</v>
      </c>
    </row>
    <row r="84">
      <c r="B84" s="10" t="inlineStr">
        <is>
          <t>General and administrative</t>
        </is>
      </c>
      <c r="C84" s="7" t="inlineStr">
        <is>
          <t>$mm</t>
        </is>
      </c>
      <c r="F84" s="45" t="n">
        <v>1720</v>
      </c>
      <c r="G84" s="45" t="n">
        <v>1702</v>
      </c>
      <c r="H84" s="45" t="n">
        <v>1888</v>
      </c>
    </row>
    <row r="85">
      <c r="B85" s="10" t="inlineStr">
        <is>
          <t>Employees at year end (approx.)</t>
        </is>
      </c>
      <c r="C85" s="7" t="inlineStr">
        <is>
          <t>#</t>
        </is>
      </c>
      <c r="F85" s="45" t="n">
        <v>13000</v>
      </c>
      <c r="G85" s="45" t="n">
        <v>14000</v>
      </c>
      <c r="H85" s="45" t="n">
        <v>16000</v>
      </c>
    </row>
    <row r="86">
      <c r="B86" s="2" t="inlineStr">
        <is>
          <t>Tie: model less reported (operating income, net income, EPS)</t>
        </is>
      </c>
      <c r="C86" s="7" t="inlineStr">
        <is>
          <t>$mm</t>
        </is>
      </c>
      <c r="F86" s="67">
        <f>ABS(F33-F78)+ABS(F42-F79)+ABS(F45-F80)*100</f>
        <v/>
      </c>
      <c r="G86" s="67">
        <f>ABS(G33-G78)+ABS(G42-G79)+ABS(G45-G80)*100</f>
        <v/>
      </c>
      <c r="H86" s="67">
        <f>ABS(H33-H78)+ABS(H42-H79)+ABS(H45-H80)*100</f>
        <v/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R5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7" customWidth="1" min="3" max="3"/>
    <col width="11" customWidth="1" min="4" max="4"/>
    <col width="11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B1" s="1" t="inlineStr">
        <is>
          <t>Netflix, Inc.  |  Valuation</t>
        </is>
      </c>
    </row>
    <row r="2">
      <c r="B2" s="2">
        <f>"Active scenario: "&amp;CHOOSE('Drivers'!$D$6,"Bear","Base","Bull")&amp;".  Cash flows after the 9/30/2026 balance sheet, discounted to the valuation date at mid-period. Price path at two horizons; no dividend."</f>
        <v/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4" t="inlineStr">
        <is>
          <t>DISCOUNTED CASH FLOW  |  ACTIVE SCENARIO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B6" s="26" t="inlineStr">
        <is>
          <t>Fiscal year (calendar)</t>
        </is>
      </c>
      <c r="C6" s="18" t="n"/>
      <c r="D6" s="18" t="n"/>
      <c r="E6" s="18" t="n"/>
      <c r="F6" s="27" t="n">
        <v>2023</v>
      </c>
      <c r="G6" s="27" t="n">
        <v>2024</v>
      </c>
      <c r="H6" s="27" t="n">
        <v>2025</v>
      </c>
      <c r="I6" s="75" t="n">
        <v>2026</v>
      </c>
      <c r="J6" s="28" t="n">
        <v>2027</v>
      </c>
      <c r="K6" s="28" t="n">
        <v>2028</v>
      </c>
      <c r="L6" s="28" t="n">
        <v>2029</v>
      </c>
      <c r="M6" s="28" t="n">
        <v>2030</v>
      </c>
      <c r="N6" s="28" t="n">
        <v>2031</v>
      </c>
      <c r="O6" s="28" t="n">
        <v>2032</v>
      </c>
      <c r="P6" s="28" t="n">
        <v>2033</v>
      </c>
      <c r="Q6" s="28" t="n">
        <v>2034</v>
      </c>
      <c r="R6" s="28" t="n">
        <v>2035</v>
      </c>
    </row>
    <row r="7">
      <c r="B7" s="10" t="inlineStr">
        <is>
          <t>Unlevered free cash flow</t>
        </is>
      </c>
      <c r="C7" s="7" t="inlineStr">
        <is>
          <t>$mm</t>
        </is>
      </c>
      <c r="I7" s="32">
        <f>'Model'!I59</f>
        <v/>
      </c>
      <c r="J7" s="12">
        <f>'Model'!J59</f>
        <v/>
      </c>
      <c r="K7" s="12">
        <f>'Model'!K59</f>
        <v/>
      </c>
      <c r="L7" s="12">
        <f>'Model'!L59</f>
        <v/>
      </c>
      <c r="M7" s="12">
        <f>'Model'!M59</f>
        <v/>
      </c>
      <c r="N7" s="12">
        <f>'Model'!N59</f>
        <v/>
      </c>
      <c r="O7" s="12">
        <f>'Model'!O59</f>
        <v/>
      </c>
      <c r="P7" s="12">
        <f>'Model'!P59</f>
        <v/>
      </c>
      <c r="Q7" s="12">
        <f>'Model'!Q59</f>
        <v/>
      </c>
      <c r="R7" s="12">
        <f>'Model'!R59</f>
        <v/>
      </c>
    </row>
    <row r="8">
      <c r="B8" s="2" t="inlineStr">
        <is>
          <t>Share of the year after the balance-sheet date</t>
        </is>
      </c>
      <c r="C8" s="7" t="inlineStr">
        <is>
          <t>x</t>
        </is>
      </c>
      <c r="I8" s="90">
        <f>('Drivers'!$D$10-'Drivers'!$D$9)/365</f>
        <v/>
      </c>
      <c r="J8" s="91">
        <f>1</f>
        <v/>
      </c>
      <c r="K8" s="91">
        <f>1</f>
        <v/>
      </c>
      <c r="L8" s="91">
        <f>1</f>
        <v/>
      </c>
      <c r="M8" s="91">
        <f>1</f>
        <v/>
      </c>
      <c r="N8" s="91">
        <f>1</f>
        <v/>
      </c>
      <c r="O8" s="91">
        <f>1</f>
        <v/>
      </c>
      <c r="P8" s="91">
        <f>1</f>
        <v/>
      </c>
      <c r="Q8" s="91">
        <f>1</f>
        <v/>
      </c>
      <c r="R8" s="91">
        <f>1</f>
        <v/>
      </c>
    </row>
    <row r="9">
      <c r="B9" s="10" t="inlineStr">
        <is>
          <t>Cash flow counted</t>
        </is>
      </c>
      <c r="C9" s="7" t="inlineStr">
        <is>
          <t>$mm</t>
        </is>
      </c>
      <c r="I9" s="59">
        <f>I7*I8</f>
        <v/>
      </c>
      <c r="J9" s="47">
        <f>J7*J8</f>
        <v/>
      </c>
      <c r="K9" s="47">
        <f>K7*K8</f>
        <v/>
      </c>
      <c r="L9" s="47">
        <f>L7*L8</f>
        <v/>
      </c>
      <c r="M9" s="47">
        <f>M7*M8</f>
        <v/>
      </c>
      <c r="N9" s="47">
        <f>N7*N8</f>
        <v/>
      </c>
      <c r="O9" s="47">
        <f>O7*O8</f>
        <v/>
      </c>
      <c r="P9" s="47">
        <f>P7*P8</f>
        <v/>
      </c>
      <c r="Q9" s="47">
        <f>Q7*Q8</f>
        <v/>
      </c>
      <c r="R9" s="47">
        <f>R7*R8</f>
        <v/>
      </c>
    </row>
    <row r="10">
      <c r="B10" s="2" t="inlineStr">
        <is>
          <t>Discount period, mid-period</t>
        </is>
      </c>
      <c r="C10" s="7" t="inlineStr">
        <is>
          <t>yrs</t>
        </is>
      </c>
      <c r="I10" s="90">
        <f>(('Drivers'!$D$10-'Drivers'!$D$9)/2+('Drivers'!$D$9-'Drivers'!$D$8))/365</f>
        <v/>
      </c>
      <c r="J10" s="92">
        <f>('Drivers'!$D$10-'Drivers'!$D$8)/365+0.5</f>
        <v/>
      </c>
      <c r="K10" s="91">
        <f>J10+1</f>
        <v/>
      </c>
      <c r="L10" s="91">
        <f>K10+1</f>
        <v/>
      </c>
      <c r="M10" s="91">
        <f>L10+1</f>
        <v/>
      </c>
      <c r="N10" s="91">
        <f>M10+1</f>
        <v/>
      </c>
      <c r="O10" s="91">
        <f>N10+1</f>
        <v/>
      </c>
      <c r="P10" s="91">
        <f>O10+1</f>
        <v/>
      </c>
      <c r="Q10" s="91">
        <f>P10+1</f>
        <v/>
      </c>
      <c r="R10" s="91">
        <f>Q10+1</f>
        <v/>
      </c>
    </row>
    <row r="11">
      <c r="B11" s="2" t="inlineStr">
        <is>
          <t>Discount factor</t>
        </is>
      </c>
      <c r="C11" s="7" t="inlineStr">
        <is>
          <t>x</t>
        </is>
      </c>
      <c r="I11" s="90">
        <f>1/(1+'Drivers'!$D$29)^I10</f>
        <v/>
      </c>
      <c r="J11" s="92">
        <f>1/(1+'Drivers'!$D$29)^J10</f>
        <v/>
      </c>
      <c r="K11" s="92">
        <f>1/(1+'Drivers'!$D$29)^K10</f>
        <v/>
      </c>
      <c r="L11" s="92">
        <f>1/(1+'Drivers'!$D$29)^L10</f>
        <v/>
      </c>
      <c r="M11" s="92">
        <f>1/(1+'Drivers'!$D$29)^M10</f>
        <v/>
      </c>
      <c r="N11" s="92">
        <f>1/(1+'Drivers'!$D$29)^N10</f>
        <v/>
      </c>
      <c r="O11" s="92">
        <f>1/(1+'Drivers'!$D$29)^O10</f>
        <v/>
      </c>
      <c r="P11" s="92">
        <f>1/(1+'Drivers'!$D$29)^P10</f>
        <v/>
      </c>
      <c r="Q11" s="92">
        <f>1/(1+'Drivers'!$D$29)^Q10</f>
        <v/>
      </c>
      <c r="R11" s="92">
        <f>1/(1+'Drivers'!$D$29)^R10</f>
        <v/>
      </c>
    </row>
    <row r="12">
      <c r="B12" s="10" t="inlineStr">
        <is>
          <t>Present value</t>
        </is>
      </c>
      <c r="C12" s="7" t="inlineStr">
        <is>
          <t>$mm</t>
        </is>
      </c>
      <c r="I12" s="59">
        <f>I9*I11</f>
        <v/>
      </c>
      <c r="J12" s="47">
        <f>J9*J11</f>
        <v/>
      </c>
      <c r="K12" s="47">
        <f>K9*K11</f>
        <v/>
      </c>
      <c r="L12" s="47">
        <f>L9*L11</f>
        <v/>
      </c>
      <c r="M12" s="47">
        <f>M9*M11</f>
        <v/>
      </c>
      <c r="N12" s="47">
        <f>N9*N11</f>
        <v/>
      </c>
      <c r="O12" s="47">
        <f>O9*O11</f>
        <v/>
      </c>
      <c r="P12" s="47">
        <f>P9*P11</f>
        <v/>
      </c>
      <c r="Q12" s="47">
        <f>Q9*Q11</f>
        <v/>
      </c>
      <c r="R12" s="47">
        <f>R9*R11</f>
        <v/>
      </c>
    </row>
    <row r="14">
      <c r="B14" s="10" t="inlineStr">
        <is>
          <t>PV of forecast cash flows</t>
        </is>
      </c>
      <c r="C14" s="7" t="inlineStr">
        <is>
          <t>$mm</t>
        </is>
      </c>
      <c r="D14" s="47">
        <f>SUM(I12:R12)</f>
        <v/>
      </c>
    </row>
    <row r="15">
      <c r="B15" s="10" t="inlineStr">
        <is>
          <t>Terminal growth</t>
        </is>
      </c>
      <c r="C15" s="7" t="inlineStr">
        <is>
          <t>%</t>
        </is>
      </c>
      <c r="D15" s="93">
        <f>'Drivers'!$D$44</f>
        <v/>
      </c>
    </row>
    <row r="16">
      <c r="B16" s="10" t="inlineStr">
        <is>
          <t>Terminal value at FY2035</t>
        </is>
      </c>
      <c r="C16" s="7" t="inlineStr">
        <is>
          <t>$mm</t>
        </is>
      </c>
      <c r="D16" s="47">
        <f>R7*(1+D15)/('Drivers'!$D$29-D15)</f>
        <v/>
      </c>
    </row>
    <row r="17">
      <c r="B17" s="10" t="inlineStr">
        <is>
          <t>PV of terminal value</t>
        </is>
      </c>
      <c r="C17" s="7" t="inlineStr">
        <is>
          <t>$mm</t>
        </is>
      </c>
      <c r="D17" s="47">
        <f>D16*R11</f>
        <v/>
      </c>
    </row>
    <row r="18">
      <c r="B18" s="6" t="inlineStr">
        <is>
          <t>Enterprise value</t>
        </is>
      </c>
      <c r="C18" s="7" t="inlineStr">
        <is>
          <t>$mm</t>
        </is>
      </c>
      <c r="D18" s="56">
        <f>D14+D17</f>
        <v/>
      </c>
    </row>
    <row r="19">
      <c r="B19" s="10" t="inlineStr">
        <is>
          <t>Less: net debt at 9/30/2026</t>
        </is>
      </c>
      <c r="C19" s="7" t="inlineStr">
        <is>
          <t>$mm</t>
        </is>
      </c>
      <c r="D19" s="12">
        <f>-'Drivers'!$D$16</f>
        <v/>
      </c>
    </row>
    <row r="20">
      <c r="B20" s="6" t="inlineStr">
        <is>
          <t>Equity value</t>
        </is>
      </c>
      <c r="C20" s="7" t="inlineStr">
        <is>
          <t>$mm</t>
        </is>
      </c>
      <c r="D20" s="46">
        <f>D18+D19</f>
        <v/>
      </c>
    </row>
    <row r="21">
      <c r="B21" s="10" t="inlineStr">
        <is>
          <t>Diluted shares</t>
        </is>
      </c>
      <c r="C21" s="7" t="inlineStr">
        <is>
          <t>mm</t>
        </is>
      </c>
      <c r="D21" s="11">
        <f>'Drivers'!$D$13</f>
        <v/>
      </c>
    </row>
    <row r="22">
      <c r="B22" s="6" t="inlineStr">
        <is>
          <t>DCF value per share</t>
        </is>
      </c>
      <c r="C22" s="7" t="inlineStr">
        <is>
          <t>$</t>
        </is>
      </c>
      <c r="D22" s="94">
        <f>D20/D21</f>
        <v/>
      </c>
    </row>
    <row r="23">
      <c r="B23" s="10" t="inlineStr">
        <is>
          <t>Upside / (downside) to price</t>
        </is>
      </c>
      <c r="C23" s="7" t="inlineStr">
        <is>
          <t>%</t>
        </is>
      </c>
      <c r="D23" s="36">
        <f>D22/'Drivers'!$D$7-1</f>
        <v/>
      </c>
    </row>
    <row r="24">
      <c r="B24" s="10" t="inlineStr">
        <is>
          <t>Terminal value, % of enterprise value</t>
        </is>
      </c>
      <c r="C24" s="7" t="inlineStr">
        <is>
          <t>%</t>
        </is>
      </c>
      <c r="D24" s="36">
        <f>D17/D18</f>
        <v/>
      </c>
    </row>
    <row r="25">
      <c r="B25" s="10" t="inlineStr">
        <is>
          <t>Implied terminal EV / EBITDA</t>
        </is>
      </c>
      <c r="C25" s="7" t="inlineStr">
        <is>
          <t>x</t>
        </is>
      </c>
      <c r="D25" s="55">
        <f>D16/('Model'!R33+'Model'!R55)</f>
        <v/>
      </c>
    </row>
    <row r="26">
      <c r="B26" s="10" t="inlineStr">
        <is>
          <t>P/E at DCF value on FY27E EPS</t>
        </is>
      </c>
      <c r="C26" s="7" t="inlineStr">
        <is>
          <t>x</t>
        </is>
      </c>
      <c r="D26" s="55">
        <f>D22/'Model'!J47</f>
        <v/>
      </c>
    </row>
    <row r="27">
      <c r="B27" s="10" t="inlineStr">
        <is>
          <t>EV / EBIT today on FY26E</t>
        </is>
      </c>
      <c r="C27" s="7" t="inlineStr">
        <is>
          <t>x</t>
        </is>
      </c>
      <c r="D27" s="55">
        <f>'Drivers'!$D$19/'Model'!I33</f>
        <v/>
      </c>
    </row>
    <row r="29">
      <c r="B29" s="4" t="inlineStr">
        <is>
          <t>PRICE PATH  |  ACTIVE SCENARIO</t>
        </is>
      </c>
      <c r="C29" s="5" t="n"/>
      <c r="D29" s="5" t="n"/>
      <c r="E29" s="5" t="n"/>
    </row>
    <row r="30">
      <c r="B30" s="10" t="inlineStr">
        <is>
          <t>Exit P/E (NTM)</t>
        </is>
      </c>
      <c r="C30" s="7" t="inlineStr">
        <is>
          <t>x</t>
        </is>
      </c>
      <c r="D30" s="14">
        <f>'Drivers'!$D$45</f>
        <v/>
      </c>
    </row>
    <row r="31">
      <c r="B31" s="10" t="inlineStr">
        <is>
          <t>Years to exit 1 (end of 2028)</t>
        </is>
      </c>
      <c r="C31" s="7" t="inlineStr">
        <is>
          <t>yrs</t>
        </is>
      </c>
      <c r="D31" s="95">
        <f>('Drivers'!$D$11-'Drivers'!$D$8)/365</f>
        <v/>
      </c>
    </row>
    <row r="32">
      <c r="B32" s="10" t="inlineStr">
        <is>
          <t>FY29E EPS</t>
        </is>
      </c>
      <c r="C32" s="7" t="inlineStr">
        <is>
          <t>$</t>
        </is>
      </c>
      <c r="D32" s="16">
        <f>'Model'!L47</f>
        <v/>
      </c>
    </row>
    <row r="33">
      <c r="B33" s="6" t="inlineStr">
        <is>
          <t>Price at the end of 2028</t>
        </is>
      </c>
      <c r="C33" s="7" t="inlineStr">
        <is>
          <t>$</t>
        </is>
      </c>
      <c r="D33" s="94">
        <f>D30*D32</f>
        <v/>
      </c>
    </row>
    <row r="34">
      <c r="B34" s="10" t="inlineStr">
        <is>
          <t>Price at exit / price today</t>
        </is>
      </c>
      <c r="C34" s="7" t="inlineStr">
        <is>
          <t>x</t>
        </is>
      </c>
      <c r="D34" s="96">
        <f>D33/'Drivers'!$D$7</f>
        <v/>
      </c>
    </row>
    <row r="35">
      <c r="B35" s="6" t="inlineStr">
        <is>
          <t>IRR to the end of 2028</t>
        </is>
      </c>
      <c r="C35" s="7" t="inlineStr">
        <is>
          <t>%</t>
        </is>
      </c>
      <c r="D35" s="97">
        <f>D34^(1/D31)-1</f>
        <v/>
      </c>
    </row>
    <row r="36">
      <c r="B36" s="6" t="inlineStr">
        <is>
          <t>Entry price for the hurdle IRR to exit 1</t>
        </is>
      </c>
      <c r="C36" s="7" t="inlineStr">
        <is>
          <t>$</t>
        </is>
      </c>
      <c r="D36" s="94">
        <f>D33/(1+'Drivers'!$D$36)^D31</f>
        <v/>
      </c>
    </row>
    <row r="37">
      <c r="B37" s="10" t="inlineStr">
        <is>
          <t>Years to exit 2 (end of 2029)</t>
        </is>
      </c>
      <c r="C37" s="7" t="inlineStr">
        <is>
          <t>yrs</t>
        </is>
      </c>
      <c r="D37" s="95">
        <f>('Drivers'!$D$12-'Drivers'!$D$8)/365</f>
        <v/>
      </c>
    </row>
    <row r="38">
      <c r="B38" s="10" t="inlineStr">
        <is>
          <t>FY30E EPS</t>
        </is>
      </c>
      <c r="C38" s="7" t="inlineStr">
        <is>
          <t>$</t>
        </is>
      </c>
      <c r="D38" s="16">
        <f>'Model'!M47</f>
        <v/>
      </c>
    </row>
    <row r="39">
      <c r="B39" s="6" t="inlineStr">
        <is>
          <t>Price at the end of 2029</t>
        </is>
      </c>
      <c r="C39" s="7" t="inlineStr">
        <is>
          <t>$</t>
        </is>
      </c>
      <c r="D39" s="94">
        <f>D30*D38</f>
        <v/>
      </c>
    </row>
    <row r="40">
      <c r="B40" s="6" t="inlineStr">
        <is>
          <t>IRR to the end of 2029</t>
        </is>
      </c>
      <c r="C40" s="7" t="inlineStr">
        <is>
          <t>%</t>
        </is>
      </c>
      <c r="D40" s="97">
        <f>(D39/'Drivers'!$D$7)^(1/D37)-1</f>
        <v/>
      </c>
    </row>
    <row r="42">
      <c r="B42" s="4" t="inlineStr">
        <is>
          <t>DCF VALUE PER SHARE: TERMINAL GROWTH (DOWN) X WACC (ACROSS)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E43" s="69">
        <f>D22</f>
        <v/>
      </c>
      <c r="F43" s="98">
        <f>'Drivers'!$D$29+(0-2)*'Drivers'!$D$37</f>
        <v/>
      </c>
      <c r="G43" s="98">
        <f>'Drivers'!$D$29+(1-2)*'Drivers'!$D$37</f>
        <v/>
      </c>
      <c r="H43" s="98">
        <f>'Drivers'!$D$29+(2-2)*'Drivers'!$D$37</f>
        <v/>
      </c>
      <c r="I43" s="98">
        <f>'Drivers'!$D$29+(3-2)*'Drivers'!$D$37</f>
        <v/>
      </c>
      <c r="J43" s="98">
        <f>'Drivers'!$D$29+(4-2)*'Drivers'!$D$37</f>
        <v/>
      </c>
    </row>
    <row r="44">
      <c r="E44" s="99">
        <f>$D$15+(0-2)*'Drivers'!$D$38</f>
        <v/>
      </c>
      <c r="F44" s="100">
        <f>(SUMPRODUCT($I$9:$R$9,(1+F$43)^(-$I$10:$R$10))+$R$7*(1+$E44)/(F$43-$E44)*(1+F$43)^(-$R$10)+$D$19)/$D$21</f>
        <v/>
      </c>
      <c r="G44" s="100">
        <f>(SUMPRODUCT($I$9:$R$9,(1+G$43)^(-$I$10:$R$10))+$R$7*(1+$E44)/(G$43-$E44)*(1+G$43)^(-$R$10)+$D$19)/$D$21</f>
        <v/>
      </c>
      <c r="H44" s="100">
        <f>(SUMPRODUCT($I$9:$R$9,(1+H$43)^(-$I$10:$R$10))+$R$7*(1+$E44)/(H$43-$E44)*(1+H$43)^(-$R$10)+$D$19)/$D$21</f>
        <v/>
      </c>
      <c r="I44" s="100">
        <f>(SUMPRODUCT($I$9:$R$9,(1+I$43)^(-$I$10:$R$10))+$R$7*(1+$E44)/(I$43-$E44)*(1+I$43)^(-$R$10)+$D$19)/$D$21</f>
        <v/>
      </c>
      <c r="J44" s="100">
        <f>(SUMPRODUCT($I$9:$R$9,(1+J$43)^(-$I$10:$R$10))+$R$7*(1+$E44)/(J$43-$E44)*(1+J$43)^(-$R$10)+$D$19)/$D$21</f>
        <v/>
      </c>
    </row>
    <row r="45">
      <c r="E45" s="99">
        <f>$D$15+(1-2)*'Drivers'!$D$38</f>
        <v/>
      </c>
      <c r="F45" s="100">
        <f>(SUMPRODUCT($I$9:$R$9,(1+F$43)^(-$I$10:$R$10))+$R$7*(1+$E45)/(F$43-$E45)*(1+F$43)^(-$R$10)+$D$19)/$D$21</f>
        <v/>
      </c>
      <c r="G45" s="100">
        <f>(SUMPRODUCT($I$9:$R$9,(1+G$43)^(-$I$10:$R$10))+$R$7*(1+$E45)/(G$43-$E45)*(1+G$43)^(-$R$10)+$D$19)/$D$21</f>
        <v/>
      </c>
      <c r="H45" s="100">
        <f>(SUMPRODUCT($I$9:$R$9,(1+H$43)^(-$I$10:$R$10))+$R$7*(1+$E45)/(H$43-$E45)*(1+H$43)^(-$R$10)+$D$19)/$D$21</f>
        <v/>
      </c>
      <c r="I45" s="100">
        <f>(SUMPRODUCT($I$9:$R$9,(1+I$43)^(-$I$10:$R$10))+$R$7*(1+$E45)/(I$43-$E45)*(1+I$43)^(-$R$10)+$D$19)/$D$21</f>
        <v/>
      </c>
      <c r="J45" s="100">
        <f>(SUMPRODUCT($I$9:$R$9,(1+J$43)^(-$I$10:$R$10))+$R$7*(1+$E45)/(J$43-$E45)*(1+J$43)^(-$R$10)+$D$19)/$D$21</f>
        <v/>
      </c>
    </row>
    <row r="46">
      <c r="E46" s="99">
        <f>$D$15+(2-2)*'Drivers'!$D$38</f>
        <v/>
      </c>
      <c r="F46" s="100">
        <f>(SUMPRODUCT($I$9:$R$9,(1+F$43)^(-$I$10:$R$10))+$R$7*(1+$E46)/(F$43-$E46)*(1+F$43)^(-$R$10)+$D$19)/$D$21</f>
        <v/>
      </c>
      <c r="G46" s="100">
        <f>(SUMPRODUCT($I$9:$R$9,(1+G$43)^(-$I$10:$R$10))+$R$7*(1+$E46)/(G$43-$E46)*(1+G$43)^(-$R$10)+$D$19)/$D$21</f>
        <v/>
      </c>
      <c r="H46" s="101">
        <f>(SUMPRODUCT($I$9:$R$9,(1+H$43)^(-$I$10:$R$10))+$R$7*(1+$E46)/(H$43-$E46)*(1+H$43)^(-$R$10)+$D$19)/$D$21</f>
        <v/>
      </c>
      <c r="I46" s="100">
        <f>(SUMPRODUCT($I$9:$R$9,(1+I$43)^(-$I$10:$R$10))+$R$7*(1+$E46)/(I$43-$E46)*(1+I$43)^(-$R$10)+$D$19)/$D$21</f>
        <v/>
      </c>
      <c r="J46" s="100">
        <f>(SUMPRODUCT($I$9:$R$9,(1+J$43)^(-$I$10:$R$10))+$R$7*(1+$E46)/(J$43-$E46)*(1+J$43)^(-$R$10)+$D$19)/$D$21</f>
        <v/>
      </c>
    </row>
    <row r="47">
      <c r="E47" s="99">
        <f>$D$15+(3-2)*'Drivers'!$D$38</f>
        <v/>
      </c>
      <c r="F47" s="100">
        <f>(SUMPRODUCT($I$9:$R$9,(1+F$43)^(-$I$10:$R$10))+$R$7*(1+$E47)/(F$43-$E47)*(1+F$43)^(-$R$10)+$D$19)/$D$21</f>
        <v/>
      </c>
      <c r="G47" s="100">
        <f>(SUMPRODUCT($I$9:$R$9,(1+G$43)^(-$I$10:$R$10))+$R$7*(1+$E47)/(G$43-$E47)*(1+G$43)^(-$R$10)+$D$19)/$D$21</f>
        <v/>
      </c>
      <c r="H47" s="100">
        <f>(SUMPRODUCT($I$9:$R$9,(1+H$43)^(-$I$10:$R$10))+$R$7*(1+$E47)/(H$43-$E47)*(1+H$43)^(-$R$10)+$D$19)/$D$21</f>
        <v/>
      </c>
      <c r="I47" s="100">
        <f>(SUMPRODUCT($I$9:$R$9,(1+I$43)^(-$I$10:$R$10))+$R$7*(1+$E47)/(I$43-$E47)*(1+I$43)^(-$R$10)+$D$19)/$D$21</f>
        <v/>
      </c>
      <c r="J47" s="100">
        <f>(SUMPRODUCT($I$9:$R$9,(1+J$43)^(-$I$10:$R$10))+$R$7*(1+$E47)/(J$43-$E47)*(1+J$43)^(-$R$10)+$D$19)/$D$21</f>
        <v/>
      </c>
    </row>
    <row r="48">
      <c r="E48" s="99">
        <f>$D$15+(4-2)*'Drivers'!$D$38</f>
        <v/>
      </c>
      <c r="F48" s="100">
        <f>(SUMPRODUCT($I$9:$R$9,(1+F$43)^(-$I$10:$R$10))+$R$7*(1+$E48)/(F$43-$E48)*(1+F$43)^(-$R$10)+$D$19)/$D$21</f>
        <v/>
      </c>
      <c r="G48" s="100">
        <f>(SUMPRODUCT($I$9:$R$9,(1+G$43)^(-$I$10:$R$10))+$R$7*(1+$E48)/(G$43-$E48)*(1+G$43)^(-$R$10)+$D$19)/$D$21</f>
        <v/>
      </c>
      <c r="H48" s="100">
        <f>(SUMPRODUCT($I$9:$R$9,(1+H$43)^(-$I$10:$R$10))+$R$7*(1+$E48)/(H$43-$E48)*(1+H$43)^(-$R$10)+$D$19)/$D$21</f>
        <v/>
      </c>
      <c r="I48" s="100">
        <f>(SUMPRODUCT($I$9:$R$9,(1+I$43)^(-$I$10:$R$10))+$R$7*(1+$E48)/(I$43-$E48)*(1+I$43)^(-$R$10)+$D$19)/$D$21</f>
        <v/>
      </c>
      <c r="J48" s="100">
        <f>(SUMPRODUCT($I$9:$R$9,(1+J$43)^(-$I$10:$R$10))+$R$7*(1+$E48)/(J$43-$E48)*(1+J$43)^(-$R$10)+$D$19)/$D$21</f>
        <v/>
      </c>
    </row>
    <row r="50">
      <c r="B50" s="4" t="inlineStr">
        <is>
          <t>PRICE PATH: EXIT P/E (ACROSS) AT EACH HORIZON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B51" s="6" t="inlineStr">
        <is>
          <t>Exit P/E (NTM)</t>
        </is>
      </c>
      <c r="C51" s="7" t="inlineStr">
        <is>
          <t>x</t>
        </is>
      </c>
      <c r="F51" s="102">
        <f>$D$30+(0-3)*'Drivers'!$D$39</f>
        <v/>
      </c>
      <c r="G51" s="102">
        <f>$D$30+(1-3)*'Drivers'!$D$39</f>
        <v/>
      </c>
      <c r="H51" s="102">
        <f>$D$30+(2-3)*'Drivers'!$D$39</f>
        <v/>
      </c>
      <c r="I51" s="102">
        <f>$D$30+(3-3)*'Drivers'!$D$39</f>
        <v/>
      </c>
      <c r="J51" s="102">
        <f>$D$30+(4-3)*'Drivers'!$D$39</f>
        <v/>
      </c>
      <c r="K51" s="102">
        <f>$D$30+(5-3)*'Drivers'!$D$39</f>
        <v/>
      </c>
      <c r="L51" s="102">
        <f>$D$30+(6-3)*'Drivers'!$D$39</f>
        <v/>
      </c>
    </row>
    <row r="52">
      <c r="B52" s="10" t="inlineStr">
        <is>
          <t>Price at the end of 2028</t>
        </is>
      </c>
      <c r="C52" s="7" t="inlineStr">
        <is>
          <t>$</t>
        </is>
      </c>
      <c r="F52" s="100">
        <f>F51*$D$32</f>
        <v/>
      </c>
      <c r="G52" s="100">
        <f>G51*$D$32</f>
        <v/>
      </c>
      <c r="H52" s="100">
        <f>H51*$D$32</f>
        <v/>
      </c>
      <c r="I52" s="101">
        <f>I51*$D$32</f>
        <v/>
      </c>
      <c r="J52" s="100">
        <f>J51*$D$32</f>
        <v/>
      </c>
      <c r="K52" s="100">
        <f>K51*$D$32</f>
        <v/>
      </c>
      <c r="L52" s="100">
        <f>L51*$D$32</f>
        <v/>
      </c>
    </row>
    <row r="53">
      <c r="B53" s="10" t="inlineStr">
        <is>
          <t>IRR to the end of 2028</t>
        </is>
      </c>
      <c r="C53" s="7" t="inlineStr">
        <is>
          <t>%</t>
        </is>
      </c>
      <c r="F53" s="36">
        <f>(F52/'Drivers'!$D$7)^(1/$D$31)-1</f>
        <v/>
      </c>
      <c r="G53" s="36">
        <f>(G52/'Drivers'!$D$7)^(1/$D$31)-1</f>
        <v/>
      </c>
      <c r="H53" s="36">
        <f>(H52/'Drivers'!$D$7)^(1/$D$31)-1</f>
        <v/>
      </c>
      <c r="I53" s="103">
        <f>(I52/'Drivers'!$D$7)^(1/$D$31)-1</f>
        <v/>
      </c>
      <c r="J53" s="36">
        <f>(J52/'Drivers'!$D$7)^(1/$D$31)-1</f>
        <v/>
      </c>
      <c r="K53" s="36">
        <f>(K52/'Drivers'!$D$7)^(1/$D$31)-1</f>
        <v/>
      </c>
      <c r="L53" s="36">
        <f>(L52/'Drivers'!$D$7)^(1/$D$31)-1</f>
        <v/>
      </c>
    </row>
    <row r="54">
      <c r="B54" s="10" t="inlineStr">
        <is>
          <t>Price at the end of 2029</t>
        </is>
      </c>
      <c r="C54" s="7" t="inlineStr">
        <is>
          <t>$</t>
        </is>
      </c>
      <c r="F54" s="100">
        <f>F51*$D$38</f>
        <v/>
      </c>
      <c r="G54" s="100">
        <f>G51*$D$38</f>
        <v/>
      </c>
      <c r="H54" s="100">
        <f>H51*$D$38</f>
        <v/>
      </c>
      <c r="I54" s="101">
        <f>I51*$D$38</f>
        <v/>
      </c>
      <c r="J54" s="100">
        <f>J51*$D$38</f>
        <v/>
      </c>
      <c r="K54" s="100">
        <f>K51*$D$38</f>
        <v/>
      </c>
      <c r="L54" s="100">
        <f>L51*$D$38</f>
        <v/>
      </c>
    </row>
    <row r="55">
      <c r="B55" s="10" t="inlineStr">
        <is>
          <t>IRR to the end of 2029</t>
        </is>
      </c>
      <c r="C55" s="7" t="inlineStr">
        <is>
          <t>%</t>
        </is>
      </c>
      <c r="F55" s="36">
        <f>(F54/'Drivers'!$D$7)^(1/$D$37)-1</f>
        <v/>
      </c>
      <c r="G55" s="36">
        <f>(G54/'Drivers'!$D$7)^(1/$D$37)-1</f>
        <v/>
      </c>
      <c r="H55" s="36">
        <f>(H54/'Drivers'!$D$7)^(1/$D$37)-1</f>
        <v/>
      </c>
      <c r="I55" s="103">
        <f>(I54/'Drivers'!$D$7)^(1/$D$37)-1</f>
        <v/>
      </c>
      <c r="J55" s="36">
        <f>(J54/'Drivers'!$D$7)^(1/$D$37)-1</f>
        <v/>
      </c>
      <c r="K55" s="36">
        <f>(K54/'Drivers'!$D$7)^(1/$D$37)-1</f>
        <v/>
      </c>
      <c r="L55" s="36">
        <f>(L54/'Drivers'!$D$7)^(1/$D$37)-1</f>
        <v/>
      </c>
    </row>
    <row r="56">
      <c r="B56" s="10" t="inlineStr">
        <is>
          <t>Entry price for the hurdle IRR (exit 1)</t>
        </is>
      </c>
      <c r="C56" s="7" t="inlineStr">
        <is>
          <t>$</t>
        </is>
      </c>
      <c r="F56" s="100">
        <f>F52/(1+'Drivers'!$D$36)^$D$31</f>
        <v/>
      </c>
      <c r="G56" s="100">
        <f>G52/(1+'Drivers'!$D$36)^$D$31</f>
        <v/>
      </c>
      <c r="H56" s="100">
        <f>H52/(1+'Drivers'!$D$36)^$D$31</f>
        <v/>
      </c>
      <c r="I56" s="101">
        <f>I52/(1+'Drivers'!$D$36)^$D$31</f>
        <v/>
      </c>
      <c r="J56" s="100">
        <f>J52/(1+'Drivers'!$D$36)^$D$31</f>
        <v/>
      </c>
      <c r="K56" s="100">
        <f>K52/(1+'Drivers'!$D$36)^$D$31</f>
        <v/>
      </c>
      <c r="L56" s="100">
        <f>L52/(1+'Drivers'!$D$36)^$D$31</f>
        <v/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R369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8" customWidth="1" min="2" max="2"/>
    <col width="7" customWidth="1" min="3" max="3"/>
    <col width="11" customWidth="1" min="4" max="4"/>
    <col width="11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B1" s="1" t="inlineStr">
        <is>
          <t>Netflix, Inc.  |  Scenarios</t>
        </is>
      </c>
    </row>
    <row r="2">
      <c r="B2" s="2" t="inlineStr">
        <is>
          <t>Three complete chains, always live, independent of the Drivers switch. The comparison table feeds the Summary.</t>
        </is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5">
      <c r="B5" s="4" t="inlineStr">
        <is>
          <t>COMPARISON</t>
        </is>
      </c>
      <c r="C5" s="5" t="n"/>
      <c r="D5" s="5" t="n"/>
      <c r="E5" s="5" t="n"/>
      <c r="F5" s="5" t="n"/>
      <c r="G5" s="5" t="n"/>
      <c r="H5" s="5" t="n"/>
    </row>
    <row r="6">
      <c r="B6" s="18" t="n"/>
      <c r="C6" s="18" t="n"/>
      <c r="D6" s="18" t="n"/>
      <c r="E6" s="18" t="n"/>
      <c r="F6" s="19" t="inlineStr">
        <is>
          <t>Bear</t>
        </is>
      </c>
      <c r="G6" s="19" t="inlineStr">
        <is>
          <t>Base</t>
        </is>
      </c>
      <c r="H6" s="19" t="inlineStr">
        <is>
          <t>Bull</t>
        </is>
      </c>
      <c r="I6" s="19" t="inlineStr">
        <is>
          <t>Weighted</t>
        </is>
      </c>
    </row>
    <row r="7">
      <c r="B7" s="10" t="inlineStr">
        <is>
          <t>Probability</t>
        </is>
      </c>
      <c r="C7" s="7" t="inlineStr">
        <is>
          <t>%</t>
        </is>
      </c>
      <c r="F7" s="15">
        <f>'Drivers'!$F$43</f>
        <v/>
      </c>
      <c r="G7" s="15">
        <f>'Drivers'!$G$43</f>
        <v/>
      </c>
      <c r="H7" s="15">
        <f>'Drivers'!$H$43</f>
        <v/>
      </c>
      <c r="I7" s="36">
        <f>SUM(F7:H7)</f>
        <v/>
      </c>
    </row>
    <row r="8">
      <c r="B8" s="10" t="inlineStr">
        <is>
          <t>FY26E revenue growth</t>
        </is>
      </c>
      <c r="C8" s="7" t="inlineStr">
        <is>
          <t>%</t>
        </is>
      </c>
      <c r="F8" s="36">
        <f>I50</f>
        <v/>
      </c>
      <c r="G8" s="36">
        <f>I162</f>
        <v/>
      </c>
      <c r="H8" s="36">
        <f>I274</f>
        <v/>
      </c>
    </row>
    <row r="9">
      <c r="B9" s="10" t="inlineStr">
        <is>
          <t>FY27E revenue growth</t>
        </is>
      </c>
      <c r="C9" s="7" t="inlineStr">
        <is>
          <t>%</t>
        </is>
      </c>
      <c r="F9" s="36">
        <f>J50</f>
        <v/>
      </c>
      <c r="G9" s="36">
        <f>J162</f>
        <v/>
      </c>
      <c r="H9" s="36">
        <f>J274</f>
        <v/>
      </c>
    </row>
    <row r="10">
      <c r="B10" s="10" t="inlineStr">
        <is>
          <t>FY28E advertising revenue</t>
        </is>
      </c>
      <c r="C10" s="7" t="inlineStr">
        <is>
          <t>$mm</t>
        </is>
      </c>
      <c r="F10" s="47">
        <f>K51</f>
        <v/>
      </c>
      <c r="G10" s="47">
        <f>K163</f>
        <v/>
      </c>
      <c r="H10" s="47">
        <f>K275</f>
        <v/>
      </c>
    </row>
    <row r="11">
      <c r="B11" s="10" t="inlineStr">
        <is>
          <t>FY27E operating margin</t>
        </is>
      </c>
      <c r="C11" s="7" t="inlineStr">
        <is>
          <t>%</t>
        </is>
      </c>
      <c r="F11" s="36">
        <f>J67</f>
        <v/>
      </c>
      <c r="G11" s="36">
        <f>J179</f>
        <v/>
      </c>
      <c r="H11" s="36">
        <f>J291</f>
        <v/>
      </c>
    </row>
    <row r="12">
      <c r="B12" s="10" t="inlineStr">
        <is>
          <t>FY29E operating margin</t>
        </is>
      </c>
      <c r="C12" s="7" t="inlineStr">
        <is>
          <t>%</t>
        </is>
      </c>
      <c r="F12" s="36">
        <f>L67</f>
        <v/>
      </c>
      <c r="G12" s="36">
        <f>L179</f>
        <v/>
      </c>
      <c r="H12" s="36">
        <f>L291</f>
        <v/>
      </c>
    </row>
    <row r="13">
      <c r="B13" s="10" t="inlineStr">
        <is>
          <t>FY26E EPS, GAAP (with the fee)</t>
        </is>
      </c>
      <c r="C13" s="7" t="inlineStr">
        <is>
          <t>$</t>
        </is>
      </c>
      <c r="F13" s="100">
        <f>I78</f>
        <v/>
      </c>
      <c r="G13" s="100">
        <f>I190</f>
        <v/>
      </c>
      <c r="H13" s="100">
        <f>I302</f>
        <v/>
      </c>
      <c r="I13" s="69">
        <f>SUMPRODUCT($F$7:$H$7,F13:H13)</f>
        <v/>
      </c>
    </row>
    <row r="14">
      <c r="B14" s="10" t="inlineStr">
        <is>
          <t>FY26E EPS ex the fee</t>
        </is>
      </c>
      <c r="C14" s="7" t="inlineStr">
        <is>
          <t>$</t>
        </is>
      </c>
      <c r="F14" s="100">
        <f>I80</f>
        <v/>
      </c>
      <c r="G14" s="100">
        <f>I192</f>
        <v/>
      </c>
      <c r="H14" s="100">
        <f>I304</f>
        <v/>
      </c>
      <c r="I14" s="69">
        <f>SUMPRODUCT($F$7:$H$7,F14:H14)</f>
        <v/>
      </c>
    </row>
    <row r="15">
      <c r="B15" s="10" t="inlineStr">
        <is>
          <t>FY27E EPS</t>
        </is>
      </c>
      <c r="C15" s="7" t="inlineStr">
        <is>
          <t>$</t>
        </is>
      </c>
      <c r="F15" s="100">
        <f>J80</f>
        <v/>
      </c>
      <c r="G15" s="100">
        <f>J192</f>
        <v/>
      </c>
      <c r="H15" s="100">
        <f>J304</f>
        <v/>
      </c>
      <c r="I15" s="69">
        <f>SUMPRODUCT($F$7:$H$7,F15:H15)</f>
        <v/>
      </c>
    </row>
    <row r="16">
      <c r="B16" s="10" t="inlineStr">
        <is>
          <t>FY29E EPS</t>
        </is>
      </c>
      <c r="C16" s="7" t="inlineStr">
        <is>
          <t>$</t>
        </is>
      </c>
      <c r="F16" s="100">
        <f>L80</f>
        <v/>
      </c>
      <c r="G16" s="100">
        <f>L192</f>
        <v/>
      </c>
      <c r="H16" s="100">
        <f>L304</f>
        <v/>
      </c>
      <c r="I16" s="69">
        <f>SUMPRODUCT($F$7:$H$7,F16:H16)</f>
        <v/>
      </c>
    </row>
    <row r="17">
      <c r="B17" s="10" t="inlineStr">
        <is>
          <t>FY30E EPS</t>
        </is>
      </c>
      <c r="C17" s="7" t="inlineStr">
        <is>
          <t>$</t>
        </is>
      </c>
      <c r="F17" s="100">
        <f>M80</f>
        <v/>
      </c>
      <c r="G17" s="100">
        <f>M192</f>
        <v/>
      </c>
      <c r="H17" s="100">
        <f>M304</f>
        <v/>
      </c>
      <c r="I17" s="69">
        <f>SUMPRODUCT($F$7:$H$7,F17:H17)</f>
        <v/>
      </c>
    </row>
    <row r="18">
      <c r="B18" s="10" t="inlineStr">
        <is>
          <t>FY29E revenue</t>
        </is>
      </c>
      <c r="C18" s="7" t="inlineStr">
        <is>
          <t>$mm</t>
        </is>
      </c>
      <c r="F18" s="47">
        <f>L49</f>
        <v/>
      </c>
      <c r="G18" s="47">
        <f>L161</f>
        <v/>
      </c>
      <c r="H18" s="47">
        <f>L273</f>
        <v/>
      </c>
    </row>
    <row r="19">
      <c r="B19" s="10" t="inlineStr">
        <is>
          <t>FY27E free cash flow</t>
        </is>
      </c>
      <c r="C19" s="7" t="inlineStr">
        <is>
          <t>$mm</t>
        </is>
      </c>
      <c r="F19" s="47">
        <f>J94</f>
        <v/>
      </c>
      <c r="G19" s="47">
        <f>J206</f>
        <v/>
      </c>
      <c r="H19" s="47">
        <f>J318</f>
        <v/>
      </c>
    </row>
    <row r="20">
      <c r="B20" s="10" t="inlineStr">
        <is>
          <t>FY27E share repurchases</t>
        </is>
      </c>
      <c r="C20" s="7" t="inlineStr">
        <is>
          <t>$mm</t>
        </is>
      </c>
      <c r="F20" s="47">
        <f>-J101</f>
        <v/>
      </c>
      <c r="G20" s="47">
        <f>-J213</f>
        <v/>
      </c>
      <c r="H20" s="47">
        <f>-J325</f>
        <v/>
      </c>
    </row>
    <row r="21">
      <c r="B21" s="10" t="inlineStr">
        <is>
          <t>FY29E diluted shares</t>
        </is>
      </c>
      <c r="C21" s="7" t="inlineStr">
        <is>
          <t>mm</t>
        </is>
      </c>
      <c r="F21" s="84">
        <f>L77</f>
        <v/>
      </c>
      <c r="G21" s="84">
        <f>L189</f>
        <v/>
      </c>
      <c r="H21" s="84">
        <f>L301</f>
        <v/>
      </c>
    </row>
    <row r="22">
      <c r="B22" s="10" t="inlineStr">
        <is>
          <t>Terminal growth</t>
        </is>
      </c>
      <c r="C22" s="7" t="inlineStr">
        <is>
          <t>%</t>
        </is>
      </c>
      <c r="F22" s="93">
        <f>'Drivers'!$F$44</f>
        <v/>
      </c>
      <c r="G22" s="93">
        <f>'Drivers'!$G$44</f>
        <v/>
      </c>
      <c r="H22" s="93">
        <f>'Drivers'!$H$44</f>
        <v/>
      </c>
    </row>
    <row r="23">
      <c r="B23" s="10" t="inlineStr">
        <is>
          <t>Implied terminal EV / EBITDA</t>
        </is>
      </c>
      <c r="C23" s="7" t="inlineStr">
        <is>
          <t>x</t>
        </is>
      </c>
      <c r="F23" s="55">
        <f>D130</f>
        <v/>
      </c>
      <c r="G23" s="55">
        <f>D242</f>
        <v/>
      </c>
      <c r="H23" s="55">
        <f>D354</f>
        <v/>
      </c>
    </row>
    <row r="24">
      <c r="B24" s="6" t="inlineStr">
        <is>
          <t>DCF value per share</t>
        </is>
      </c>
      <c r="C24" s="7" t="inlineStr">
        <is>
          <t>$</t>
        </is>
      </c>
      <c r="F24" s="69">
        <f>D127</f>
        <v/>
      </c>
      <c r="G24" s="69">
        <f>D239</f>
        <v/>
      </c>
      <c r="H24" s="69">
        <f>D351</f>
        <v/>
      </c>
      <c r="I24" s="69">
        <f>SUMPRODUCT($F$7:$H$7,F24:H24)</f>
        <v/>
      </c>
    </row>
    <row r="25">
      <c r="B25" s="10" t="inlineStr">
        <is>
          <t>vs price</t>
        </is>
      </c>
      <c r="C25" s="7" t="inlineStr">
        <is>
          <t>%</t>
        </is>
      </c>
      <c r="F25" s="15">
        <f>F24/'Drivers'!$D$7-1</f>
        <v/>
      </c>
      <c r="G25" s="15">
        <f>G24/'Drivers'!$D$7-1</f>
        <v/>
      </c>
      <c r="H25" s="15">
        <f>H24/'Drivers'!$D$7-1</f>
        <v/>
      </c>
      <c r="I25" s="104">
        <f>I24/'Drivers'!$D$7-1</f>
        <v/>
      </c>
    </row>
    <row r="26">
      <c r="B26" s="10" t="inlineStr">
        <is>
          <t>Exit P/E (NTM)</t>
        </is>
      </c>
      <c r="C26" s="7" t="inlineStr">
        <is>
          <t>x</t>
        </is>
      </c>
      <c r="F26" s="55">
        <f>D135</f>
        <v/>
      </c>
      <c r="G26" s="55">
        <f>D247</f>
        <v/>
      </c>
      <c r="H26" s="55">
        <f>D359</f>
        <v/>
      </c>
    </row>
    <row r="27">
      <c r="B27" s="6" t="inlineStr">
        <is>
          <t>Price at the end of 2028</t>
        </is>
      </c>
      <c r="C27" s="7" t="inlineStr">
        <is>
          <t>$</t>
        </is>
      </c>
      <c r="F27" s="69">
        <f>D138</f>
        <v/>
      </c>
      <c r="G27" s="69">
        <f>D250</f>
        <v/>
      </c>
      <c r="H27" s="69">
        <f>D362</f>
        <v/>
      </c>
      <c r="I27" s="69">
        <f>SUMPRODUCT($F$7:$H$7,F27:H27)</f>
        <v/>
      </c>
    </row>
    <row r="28">
      <c r="B28" s="10" t="inlineStr">
        <is>
          <t>IRR to the end of 2028</t>
        </is>
      </c>
      <c r="C28" s="7" t="inlineStr">
        <is>
          <t>%</t>
        </is>
      </c>
      <c r="F28" s="36">
        <f>D140</f>
        <v/>
      </c>
      <c r="G28" s="36">
        <f>D252</f>
        <v/>
      </c>
      <c r="H28" s="36">
        <f>D364</f>
        <v/>
      </c>
      <c r="I28" s="104">
        <f>(I27/'Drivers'!$D$7)^(1/D136)-1</f>
        <v/>
      </c>
    </row>
    <row r="29">
      <c r="B29" s="6" t="inlineStr">
        <is>
          <t>Price at the end of 2029</t>
        </is>
      </c>
      <c r="C29" s="7" t="inlineStr">
        <is>
          <t>$</t>
        </is>
      </c>
      <c r="F29" s="69">
        <f>D144</f>
        <v/>
      </c>
      <c r="G29" s="69">
        <f>D256</f>
        <v/>
      </c>
      <c r="H29" s="69">
        <f>D368</f>
        <v/>
      </c>
      <c r="I29" s="69">
        <f>SUMPRODUCT($F$7:$H$7,F29:H29)</f>
        <v/>
      </c>
    </row>
    <row r="30">
      <c r="B30" s="10" t="inlineStr">
        <is>
          <t>IRR to the end of 2029</t>
        </is>
      </c>
      <c r="C30" s="7" t="inlineStr">
        <is>
          <t>%</t>
        </is>
      </c>
      <c r="F30" s="36">
        <f>D145</f>
        <v/>
      </c>
      <c r="G30" s="36">
        <f>D257</f>
        <v/>
      </c>
      <c r="H30" s="36">
        <f>D369</f>
        <v/>
      </c>
      <c r="I30" s="104">
        <f>(I29/'Drivers'!$D$7)^(1/D142)-1</f>
        <v/>
      </c>
    </row>
    <row r="31">
      <c r="B31" s="10" t="inlineStr">
        <is>
          <t>Entry price for the hurdle IRR (exit 1)</t>
        </is>
      </c>
      <c r="C31" s="7" t="inlineStr">
        <is>
          <t>$</t>
        </is>
      </c>
      <c r="F31" s="100">
        <f>D141</f>
        <v/>
      </c>
      <c r="G31" s="100">
        <f>D253</f>
        <v/>
      </c>
      <c r="H31" s="100">
        <f>D365</f>
        <v/>
      </c>
      <c r="I31" s="69">
        <f>SUMPRODUCT($F$7:$H$7,F31:H31)</f>
        <v/>
      </c>
    </row>
    <row r="36">
      <c r="B36" s="105" t="inlineStr">
        <is>
          <t>BEAR CASE</t>
        </is>
      </c>
      <c r="C36" s="106" t="n"/>
      <c r="D36" s="106" t="n"/>
      <c r="E36" s="106" t="n"/>
      <c r="F36" s="106" t="n"/>
      <c r="G36" s="106" t="n"/>
      <c r="H36" s="106" t="n"/>
      <c r="I36" s="106" t="n"/>
      <c r="J36" s="106" t="n"/>
      <c r="K36" s="106" t="n"/>
      <c r="L36" s="106" t="n"/>
      <c r="M36" s="106" t="n"/>
      <c r="N36" s="106" t="n"/>
      <c r="O36" s="106" t="n"/>
      <c r="P36" s="106" t="n"/>
      <c r="Q36" s="106" t="n"/>
      <c r="R36" s="106" t="n"/>
    </row>
    <row r="38">
      <c r="B38" s="4" t="inlineStr">
        <is>
          <t>REVENUE  |  BEAR CASE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B39" s="26" t="inlineStr">
        <is>
          <t>Fiscal year (calendar)</t>
        </is>
      </c>
      <c r="C39" s="18" t="n"/>
      <c r="D39" s="18" t="n"/>
      <c r="E39" s="18" t="n"/>
      <c r="F39" s="27" t="n">
        <v>2023</v>
      </c>
      <c r="G39" s="27" t="n">
        <v>2024</v>
      </c>
      <c r="H39" s="27" t="n">
        <v>2025</v>
      </c>
      <c r="I39" s="75" t="n">
        <v>2026</v>
      </c>
      <c r="J39" s="28" t="n">
        <v>2027</v>
      </c>
      <c r="K39" s="28" t="n">
        <v>2028</v>
      </c>
      <c r="L39" s="28" t="n">
        <v>2029</v>
      </c>
      <c r="M39" s="28" t="n">
        <v>2030</v>
      </c>
      <c r="N39" s="28" t="n">
        <v>2031</v>
      </c>
      <c r="O39" s="28" t="n">
        <v>2032</v>
      </c>
      <c r="P39" s="28" t="n">
        <v>2033</v>
      </c>
      <c r="Q39" s="28" t="n">
        <v>2034</v>
      </c>
      <c r="R39" s="28" t="n">
        <v>2035</v>
      </c>
    </row>
    <row r="40">
      <c r="B40" s="10" t="inlineStr">
        <is>
          <t>United States and Canada</t>
        </is>
      </c>
      <c r="C40" s="7" t="inlineStr">
        <is>
          <t>$mm</t>
        </is>
      </c>
      <c r="F40" s="12">
        <f>'Model'!F7</f>
        <v/>
      </c>
      <c r="G40" s="12">
        <f>'Model'!G7</f>
        <v/>
      </c>
      <c r="H40" s="12">
        <f>'Model'!H7</f>
        <v/>
      </c>
      <c r="I40" s="59">
        <f>H40*(1+I41)</f>
        <v/>
      </c>
      <c r="J40" s="47">
        <f>I40*(1+J41)</f>
        <v/>
      </c>
      <c r="K40" s="47">
        <f>J40*(1+K41)</f>
        <v/>
      </c>
      <c r="L40" s="47">
        <f>K40*(1+L41)</f>
        <v/>
      </c>
      <c r="M40" s="47">
        <f>L40*(1+M41)</f>
        <v/>
      </c>
      <c r="N40" s="47">
        <f>M40*(1+N41)</f>
        <v/>
      </c>
      <c r="O40" s="47">
        <f>N40*(1+O41)</f>
        <v/>
      </c>
      <c r="P40" s="47">
        <f>O40*(1+P41)</f>
        <v/>
      </c>
      <c r="Q40" s="47">
        <f>P40*(1+Q41)</f>
        <v/>
      </c>
      <c r="R40" s="47">
        <f>Q40*(1+R41)</f>
        <v/>
      </c>
    </row>
    <row r="41">
      <c r="B41" s="30" t="inlineStr">
        <is>
          <t>y/y</t>
        </is>
      </c>
      <c r="C41" s="7" t="inlineStr">
        <is>
          <t>%</t>
        </is>
      </c>
      <c r="G41" s="77">
        <f>'Model'!G8</f>
        <v/>
      </c>
      <c r="H41" s="77">
        <f>'Model'!H8</f>
        <v/>
      </c>
      <c r="I41" s="76">
        <f>'Drivers'!I$69</f>
        <v/>
      </c>
      <c r="J41" s="77">
        <f>'Drivers'!J$69</f>
        <v/>
      </c>
      <c r="K41" s="77">
        <f>'Drivers'!K$69</f>
        <v/>
      </c>
      <c r="L41" s="77">
        <f>'Drivers'!L$69</f>
        <v/>
      </c>
      <c r="M41" s="77">
        <f>'Drivers'!M$69</f>
        <v/>
      </c>
      <c r="N41" s="77">
        <f>'Drivers'!N$69</f>
        <v/>
      </c>
      <c r="O41" s="77">
        <f>'Drivers'!O$69</f>
        <v/>
      </c>
      <c r="P41" s="77">
        <f>'Drivers'!P$69</f>
        <v/>
      </c>
      <c r="Q41" s="77">
        <f>'Drivers'!Q$69</f>
        <v/>
      </c>
      <c r="R41" s="77">
        <f>'Drivers'!R$69</f>
        <v/>
      </c>
    </row>
    <row r="42">
      <c r="B42" s="10" t="inlineStr">
        <is>
          <t>Europe, Middle East and Africa</t>
        </is>
      </c>
      <c r="C42" s="7" t="inlineStr">
        <is>
          <t>$mm</t>
        </is>
      </c>
      <c r="F42" s="12">
        <f>'Model'!F9</f>
        <v/>
      </c>
      <c r="G42" s="12">
        <f>'Model'!G9</f>
        <v/>
      </c>
      <c r="H42" s="12">
        <f>'Model'!H9</f>
        <v/>
      </c>
      <c r="I42" s="59">
        <f>H42*(1+I43)</f>
        <v/>
      </c>
      <c r="J42" s="47">
        <f>I42*(1+J43)</f>
        <v/>
      </c>
      <c r="K42" s="47">
        <f>J42*(1+K43)</f>
        <v/>
      </c>
      <c r="L42" s="47">
        <f>K42*(1+L43)</f>
        <v/>
      </c>
      <c r="M42" s="47">
        <f>L42*(1+M43)</f>
        <v/>
      </c>
      <c r="N42" s="47">
        <f>M42*(1+N43)</f>
        <v/>
      </c>
      <c r="O42" s="47">
        <f>N42*(1+O43)</f>
        <v/>
      </c>
      <c r="P42" s="47">
        <f>O42*(1+P43)</f>
        <v/>
      </c>
      <c r="Q42" s="47">
        <f>P42*(1+Q43)</f>
        <v/>
      </c>
      <c r="R42" s="47">
        <f>Q42*(1+R43)</f>
        <v/>
      </c>
    </row>
    <row r="43">
      <c r="B43" s="30" t="inlineStr">
        <is>
          <t>y/y</t>
        </is>
      </c>
      <c r="C43" s="7" t="inlineStr">
        <is>
          <t>%</t>
        </is>
      </c>
      <c r="G43" s="77">
        <f>'Model'!G10</f>
        <v/>
      </c>
      <c r="H43" s="77">
        <f>'Model'!H10</f>
        <v/>
      </c>
      <c r="I43" s="76">
        <f>'Drivers'!I$72</f>
        <v/>
      </c>
      <c r="J43" s="77">
        <f>'Drivers'!J$72</f>
        <v/>
      </c>
      <c r="K43" s="77">
        <f>'Drivers'!K$72</f>
        <v/>
      </c>
      <c r="L43" s="77">
        <f>'Drivers'!L$72</f>
        <v/>
      </c>
      <c r="M43" s="77">
        <f>'Drivers'!M$72</f>
        <v/>
      </c>
      <c r="N43" s="77">
        <f>'Drivers'!N$72</f>
        <v/>
      </c>
      <c r="O43" s="77">
        <f>'Drivers'!O$72</f>
        <v/>
      </c>
      <c r="P43" s="77">
        <f>'Drivers'!P$72</f>
        <v/>
      </c>
      <c r="Q43" s="77">
        <f>'Drivers'!Q$72</f>
        <v/>
      </c>
      <c r="R43" s="77">
        <f>'Drivers'!R$72</f>
        <v/>
      </c>
    </row>
    <row r="44">
      <c r="B44" s="10" t="inlineStr">
        <is>
          <t>Latin America</t>
        </is>
      </c>
      <c r="C44" s="7" t="inlineStr">
        <is>
          <t>$mm</t>
        </is>
      </c>
      <c r="F44" s="12">
        <f>'Model'!F11</f>
        <v/>
      </c>
      <c r="G44" s="12">
        <f>'Model'!G11</f>
        <v/>
      </c>
      <c r="H44" s="12">
        <f>'Model'!H11</f>
        <v/>
      </c>
      <c r="I44" s="59">
        <f>H44*(1+I45)</f>
        <v/>
      </c>
      <c r="J44" s="47">
        <f>I44*(1+J45)</f>
        <v/>
      </c>
      <c r="K44" s="47">
        <f>J44*(1+K45)</f>
        <v/>
      </c>
      <c r="L44" s="47">
        <f>K44*(1+L45)</f>
        <v/>
      </c>
      <c r="M44" s="47">
        <f>L44*(1+M45)</f>
        <v/>
      </c>
      <c r="N44" s="47">
        <f>M44*(1+N45)</f>
        <v/>
      </c>
      <c r="O44" s="47">
        <f>N44*(1+O45)</f>
        <v/>
      </c>
      <c r="P44" s="47">
        <f>O44*(1+P45)</f>
        <v/>
      </c>
      <c r="Q44" s="47">
        <f>P44*(1+Q45)</f>
        <v/>
      </c>
      <c r="R44" s="47">
        <f>Q44*(1+R45)</f>
        <v/>
      </c>
    </row>
    <row r="45">
      <c r="B45" s="30" t="inlineStr">
        <is>
          <t>y/y</t>
        </is>
      </c>
      <c r="C45" s="7" t="inlineStr">
        <is>
          <t>%</t>
        </is>
      </c>
      <c r="G45" s="77">
        <f>'Model'!G12</f>
        <v/>
      </c>
      <c r="H45" s="77">
        <f>'Model'!H12</f>
        <v/>
      </c>
      <c r="I45" s="76">
        <f>'Drivers'!I$75</f>
        <v/>
      </c>
      <c r="J45" s="77">
        <f>'Drivers'!J$75</f>
        <v/>
      </c>
      <c r="K45" s="77">
        <f>'Drivers'!K$75</f>
        <v/>
      </c>
      <c r="L45" s="77">
        <f>'Drivers'!L$75</f>
        <v/>
      </c>
      <c r="M45" s="77">
        <f>'Drivers'!M$75</f>
        <v/>
      </c>
      <c r="N45" s="77">
        <f>'Drivers'!N$75</f>
        <v/>
      </c>
      <c r="O45" s="77">
        <f>'Drivers'!O$75</f>
        <v/>
      </c>
      <c r="P45" s="77">
        <f>'Drivers'!P$75</f>
        <v/>
      </c>
      <c r="Q45" s="77">
        <f>'Drivers'!Q$75</f>
        <v/>
      </c>
      <c r="R45" s="77">
        <f>'Drivers'!R$75</f>
        <v/>
      </c>
    </row>
    <row r="46">
      <c r="B46" s="10" t="inlineStr">
        <is>
          <t>Asia-Pacific</t>
        </is>
      </c>
      <c r="C46" s="7" t="inlineStr">
        <is>
          <t>$mm</t>
        </is>
      </c>
      <c r="F46" s="12">
        <f>'Model'!F13</f>
        <v/>
      </c>
      <c r="G46" s="12">
        <f>'Model'!G13</f>
        <v/>
      </c>
      <c r="H46" s="12">
        <f>'Model'!H13</f>
        <v/>
      </c>
      <c r="I46" s="59">
        <f>H46*(1+I47)</f>
        <v/>
      </c>
      <c r="J46" s="47">
        <f>I46*(1+J47)</f>
        <v/>
      </c>
      <c r="K46" s="47">
        <f>J46*(1+K47)</f>
        <v/>
      </c>
      <c r="L46" s="47">
        <f>K46*(1+L47)</f>
        <v/>
      </c>
      <c r="M46" s="47">
        <f>L46*(1+M47)</f>
        <v/>
      </c>
      <c r="N46" s="47">
        <f>M46*(1+N47)</f>
        <v/>
      </c>
      <c r="O46" s="47">
        <f>N46*(1+O47)</f>
        <v/>
      </c>
      <c r="P46" s="47">
        <f>O46*(1+P47)</f>
        <v/>
      </c>
      <c r="Q46" s="47">
        <f>P46*(1+Q47)</f>
        <v/>
      </c>
      <c r="R46" s="47">
        <f>Q46*(1+R47)</f>
        <v/>
      </c>
    </row>
    <row r="47">
      <c r="B47" s="30" t="inlineStr">
        <is>
          <t>y/y</t>
        </is>
      </c>
      <c r="C47" s="7" t="inlineStr">
        <is>
          <t>%</t>
        </is>
      </c>
      <c r="G47" s="77">
        <f>'Model'!G14</f>
        <v/>
      </c>
      <c r="H47" s="77">
        <f>'Model'!H14</f>
        <v/>
      </c>
      <c r="I47" s="76">
        <f>'Drivers'!I$78</f>
        <v/>
      </c>
      <c r="J47" s="77">
        <f>'Drivers'!J$78</f>
        <v/>
      </c>
      <c r="K47" s="77">
        <f>'Drivers'!K$78</f>
        <v/>
      </c>
      <c r="L47" s="77">
        <f>'Drivers'!L$78</f>
        <v/>
      </c>
      <c r="M47" s="77">
        <f>'Drivers'!M$78</f>
        <v/>
      </c>
      <c r="N47" s="77">
        <f>'Drivers'!N$78</f>
        <v/>
      </c>
      <c r="O47" s="77">
        <f>'Drivers'!O$78</f>
        <v/>
      </c>
      <c r="P47" s="77">
        <f>'Drivers'!P$78</f>
        <v/>
      </c>
      <c r="Q47" s="77">
        <f>'Drivers'!Q$78</f>
        <v/>
      </c>
      <c r="R47" s="77">
        <f>'Drivers'!R$78</f>
        <v/>
      </c>
    </row>
    <row r="48">
      <c r="B48" s="10" t="inlineStr">
        <is>
          <t>DVD (wound down 2023)</t>
        </is>
      </c>
      <c r="C48" s="7" t="inlineStr">
        <is>
          <t>$mm</t>
        </is>
      </c>
      <c r="F48" s="12">
        <f>'Model'!F15</f>
        <v/>
      </c>
      <c r="G48" s="12">
        <f>'Model'!G15</f>
        <v/>
      </c>
      <c r="H48" s="12">
        <f>'Model'!H15</f>
        <v/>
      </c>
      <c r="I48" s="59">
        <f>0</f>
        <v/>
      </c>
      <c r="J48" s="47">
        <f>0</f>
        <v/>
      </c>
      <c r="K48" s="47">
        <f>0</f>
        <v/>
      </c>
      <c r="L48" s="47">
        <f>0</f>
        <v/>
      </c>
      <c r="M48" s="47">
        <f>0</f>
        <v/>
      </c>
      <c r="N48" s="47">
        <f>0</f>
        <v/>
      </c>
      <c r="O48" s="47">
        <f>0</f>
        <v/>
      </c>
      <c r="P48" s="47">
        <f>0</f>
        <v/>
      </c>
      <c r="Q48" s="47">
        <f>0</f>
        <v/>
      </c>
      <c r="R48" s="47">
        <f>0</f>
        <v/>
      </c>
    </row>
    <row r="49">
      <c r="B49" s="6" t="inlineStr">
        <is>
          <t>Total revenue</t>
        </is>
      </c>
      <c r="C49" s="7" t="inlineStr">
        <is>
          <t>$mm</t>
        </is>
      </c>
      <c r="F49" s="62">
        <f>'Model'!F16</f>
        <v/>
      </c>
      <c r="G49" s="62">
        <f>'Model'!G16</f>
        <v/>
      </c>
      <c r="H49" s="62">
        <f>'Model'!H16</f>
        <v/>
      </c>
      <c r="I49" s="61">
        <f>I40+I42+I44+I46+I48</f>
        <v/>
      </c>
      <c r="J49" s="56">
        <f>J40+J42+J44+J46+J48</f>
        <v/>
      </c>
      <c r="K49" s="56">
        <f>K40+K42+K44+K46+K48</f>
        <v/>
      </c>
      <c r="L49" s="56">
        <f>L40+L42+L44+L46+L48</f>
        <v/>
      </c>
      <c r="M49" s="56">
        <f>M40+M42+M44+M46+M48</f>
        <v/>
      </c>
      <c r="N49" s="56">
        <f>N40+N42+N44+N46+N48</f>
        <v/>
      </c>
      <c r="O49" s="56">
        <f>O40+O42+O44+O46+O48</f>
        <v/>
      </c>
      <c r="P49" s="56">
        <f>P40+P42+P44+P46+P48</f>
        <v/>
      </c>
      <c r="Q49" s="56">
        <f>Q40+Q42+Q44+Q46+Q48</f>
        <v/>
      </c>
      <c r="R49" s="56">
        <f>R40+R42+R44+R46+R48</f>
        <v/>
      </c>
    </row>
    <row r="50">
      <c r="B50" s="30" t="inlineStr">
        <is>
          <t>y/y</t>
        </is>
      </c>
      <c r="C50" s="7" t="inlineStr">
        <is>
          <t>%</t>
        </is>
      </c>
      <c r="G50" s="77">
        <f>'Model'!G17</f>
        <v/>
      </c>
      <c r="H50" s="77">
        <f>'Model'!H17</f>
        <v/>
      </c>
      <c r="I50" s="64">
        <f>I49/H49-1</f>
        <v/>
      </c>
      <c r="J50" s="60">
        <f>J49/I49-1</f>
        <v/>
      </c>
      <c r="K50" s="60">
        <f>K49/J49-1</f>
        <v/>
      </c>
      <c r="L50" s="60">
        <f>L49/K49-1</f>
        <v/>
      </c>
      <c r="M50" s="60">
        <f>M49/L49-1</f>
        <v/>
      </c>
      <c r="N50" s="60">
        <f>N49/M49-1</f>
        <v/>
      </c>
      <c r="O50" s="60">
        <f>O49/N49-1</f>
        <v/>
      </c>
      <c r="P50" s="60">
        <f>P49/O49-1</f>
        <v/>
      </c>
      <c r="Q50" s="60">
        <f>Q49/P49-1</f>
        <v/>
      </c>
      <c r="R50" s="60">
        <f>R49/Q49-1</f>
        <v/>
      </c>
    </row>
    <row r="51">
      <c r="B51" s="30" t="inlineStr">
        <is>
          <t>of which advertising (memo)</t>
        </is>
      </c>
      <c r="C51" s="7" t="inlineStr">
        <is>
          <t>$mm</t>
        </is>
      </c>
      <c r="G51" s="79">
        <f>'Model'!G18</f>
        <v/>
      </c>
      <c r="H51" s="79">
        <f>'Model'!H18</f>
        <v/>
      </c>
      <c r="I51" s="78">
        <f>'Drivers'!I$81</f>
        <v/>
      </c>
      <c r="J51" s="79">
        <f>'Drivers'!J$81</f>
        <v/>
      </c>
      <c r="K51" s="79">
        <f>'Drivers'!K$81</f>
        <v/>
      </c>
      <c r="L51" s="79">
        <f>'Drivers'!L$81</f>
        <v/>
      </c>
      <c r="M51" s="79">
        <f>'Drivers'!M$81</f>
        <v/>
      </c>
      <c r="N51" s="79">
        <f>'Drivers'!N$81</f>
        <v/>
      </c>
      <c r="O51" s="79">
        <f>'Drivers'!O$81</f>
        <v/>
      </c>
      <c r="P51" s="79">
        <f>'Drivers'!P$81</f>
        <v/>
      </c>
      <c r="Q51" s="79">
        <f>'Drivers'!Q$81</f>
        <v/>
      </c>
      <c r="R51" s="79">
        <f>'Drivers'!R$81</f>
        <v/>
      </c>
    </row>
    <row r="52">
      <c r="B52" s="30" t="inlineStr">
        <is>
          <t>advertising, % of revenue</t>
        </is>
      </c>
      <c r="C52" s="7" t="inlineStr">
        <is>
          <t>%</t>
        </is>
      </c>
      <c r="G52" s="77">
        <f>'Model'!G19</f>
        <v/>
      </c>
      <c r="H52" s="77">
        <f>'Model'!H19</f>
        <v/>
      </c>
      <c r="I52" s="64">
        <f>I51/I49</f>
        <v/>
      </c>
      <c r="J52" s="60">
        <f>J51/J49</f>
        <v/>
      </c>
      <c r="K52" s="60">
        <f>K51/K49</f>
        <v/>
      </c>
      <c r="L52" s="60">
        <f>L51/L49</f>
        <v/>
      </c>
      <c r="M52" s="60">
        <f>M51/M49</f>
        <v/>
      </c>
      <c r="N52" s="60">
        <f>N51/N49</f>
        <v/>
      </c>
      <c r="O52" s="60">
        <f>O51/O49</f>
        <v/>
      </c>
      <c r="P52" s="60">
        <f>P51/P49</f>
        <v/>
      </c>
      <c r="Q52" s="60">
        <f>Q51/Q49</f>
        <v/>
      </c>
      <c r="R52" s="60">
        <f>R51/R49</f>
        <v/>
      </c>
    </row>
    <row r="53">
      <c r="B53" s="30" t="inlineStr">
        <is>
          <t>subscription and other (memo)</t>
        </is>
      </c>
      <c r="C53" s="7" t="inlineStr">
        <is>
          <t>$mm</t>
        </is>
      </c>
      <c r="G53" s="79">
        <f>'Model'!G20</f>
        <v/>
      </c>
      <c r="H53" s="79">
        <f>'Model'!H20</f>
        <v/>
      </c>
      <c r="I53" s="80">
        <f>I49-I51</f>
        <v/>
      </c>
      <c r="J53" s="67">
        <f>J49-J51</f>
        <v/>
      </c>
      <c r="K53" s="67">
        <f>K49-K51</f>
        <v/>
      </c>
      <c r="L53" s="67">
        <f>L49-L51</f>
        <v/>
      </c>
      <c r="M53" s="67">
        <f>M49-M51</f>
        <v/>
      </c>
      <c r="N53" s="67">
        <f>N49-N51</f>
        <v/>
      </c>
      <c r="O53" s="67">
        <f>O49-O51</f>
        <v/>
      </c>
      <c r="P53" s="67">
        <f>P49-P51</f>
        <v/>
      </c>
      <c r="Q53" s="67">
        <f>Q49-Q51</f>
        <v/>
      </c>
      <c r="R53" s="67">
        <f>R49-R51</f>
        <v/>
      </c>
    </row>
    <row r="54">
      <c r="B54" s="30" t="inlineStr">
        <is>
          <t>y/y</t>
        </is>
      </c>
      <c r="C54" s="7" t="inlineStr">
        <is>
          <t>%</t>
        </is>
      </c>
      <c r="H54" s="77">
        <f>'Model'!H21</f>
        <v/>
      </c>
      <c r="I54" s="64">
        <f>I53/H53-1</f>
        <v/>
      </c>
      <c r="J54" s="60">
        <f>J53/I53-1</f>
        <v/>
      </c>
      <c r="K54" s="60">
        <f>K53/J53-1</f>
        <v/>
      </c>
      <c r="L54" s="60">
        <f>L53/K53-1</f>
        <v/>
      </c>
      <c r="M54" s="60">
        <f>M53/L53-1</f>
        <v/>
      </c>
      <c r="N54" s="60">
        <f>N53/M53-1</f>
        <v/>
      </c>
      <c r="O54" s="60">
        <f>O53/N53-1</f>
        <v/>
      </c>
      <c r="P54" s="60">
        <f>P53/O53-1</f>
        <v/>
      </c>
      <c r="Q54" s="60">
        <f>Q53/P53-1</f>
        <v/>
      </c>
      <c r="R54" s="60">
        <f>R53/Q53-1</f>
        <v/>
      </c>
    </row>
    <row r="55">
      <c r="I55" s="65" t="n"/>
    </row>
    <row r="56">
      <c r="B56" s="4" t="inlineStr">
        <is>
          <t>INCOME STATEMENT</t>
        </is>
      </c>
      <c r="C56" s="5" t="n"/>
      <c r="D56" s="5" t="n"/>
      <c r="E56" s="5" t="n"/>
      <c r="F56" s="5" t="n"/>
      <c r="G56" s="5" t="n"/>
      <c r="H56" s="5" t="n"/>
      <c r="I56" s="66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B57" s="10" t="inlineStr">
        <is>
          <t>Content amortization</t>
        </is>
      </c>
      <c r="C57" s="7" t="inlineStr">
        <is>
          <t>$mm</t>
        </is>
      </c>
      <c r="F57" s="12">
        <f>'Model'!F24</f>
        <v/>
      </c>
      <c r="G57" s="12">
        <f>'Model'!G24</f>
        <v/>
      </c>
      <c r="H57" s="12">
        <f>'Model'!H24</f>
        <v/>
      </c>
      <c r="I57" s="59">
        <f>H57*(1+I58)</f>
        <v/>
      </c>
      <c r="J57" s="47">
        <f>I57*(1+J58)</f>
        <v/>
      </c>
      <c r="K57" s="47">
        <f>J57*(1+K58)</f>
        <v/>
      </c>
      <c r="L57" s="47">
        <f>K57*(1+L58)</f>
        <v/>
      </c>
      <c r="M57" s="47">
        <f>L57*(1+M58)</f>
        <v/>
      </c>
      <c r="N57" s="47">
        <f>M57*(1+N58)</f>
        <v/>
      </c>
      <c r="O57" s="47">
        <f>N57*(1+O58)</f>
        <v/>
      </c>
      <c r="P57" s="47">
        <f>O57*(1+P58)</f>
        <v/>
      </c>
      <c r="Q57" s="47">
        <f>P57*(1+Q58)</f>
        <v/>
      </c>
      <c r="R57" s="47">
        <f>Q57*(1+R58)</f>
        <v/>
      </c>
    </row>
    <row r="58">
      <c r="B58" s="30" t="inlineStr">
        <is>
          <t>y/y</t>
        </is>
      </c>
      <c r="C58" s="7" t="inlineStr">
        <is>
          <t>%</t>
        </is>
      </c>
      <c r="G58" s="77">
        <f>'Model'!G25</f>
        <v/>
      </c>
      <c r="H58" s="77">
        <f>'Model'!H25</f>
        <v/>
      </c>
      <c r="I58" s="76">
        <f>'Drivers'!I$84</f>
        <v/>
      </c>
      <c r="J58" s="77">
        <f>'Drivers'!J$84</f>
        <v/>
      </c>
      <c r="K58" s="77">
        <f>'Drivers'!K$84</f>
        <v/>
      </c>
      <c r="L58" s="77">
        <f>'Drivers'!L$84</f>
        <v/>
      </c>
      <c r="M58" s="77">
        <f>'Drivers'!M$84</f>
        <v/>
      </c>
      <c r="N58" s="77">
        <f>'Drivers'!N$84</f>
        <v/>
      </c>
      <c r="O58" s="77">
        <f>'Drivers'!O$84</f>
        <v/>
      </c>
      <c r="P58" s="77">
        <f>'Drivers'!P$84</f>
        <v/>
      </c>
      <c r="Q58" s="77">
        <f>'Drivers'!Q$84</f>
        <v/>
      </c>
      <c r="R58" s="77">
        <f>'Drivers'!R$84</f>
        <v/>
      </c>
    </row>
    <row r="59">
      <c r="B59" s="30" t="inlineStr">
        <is>
          <t>% of revenue</t>
        </is>
      </c>
      <c r="C59" s="7" t="inlineStr">
        <is>
          <t>%</t>
        </is>
      </c>
      <c r="F59" s="77">
        <f>'Model'!F26</f>
        <v/>
      </c>
      <c r="G59" s="77">
        <f>'Model'!G26</f>
        <v/>
      </c>
      <c r="H59" s="77">
        <f>'Model'!H26</f>
        <v/>
      </c>
      <c r="I59" s="64">
        <f>I57/I49</f>
        <v/>
      </c>
      <c r="J59" s="60">
        <f>J57/J49</f>
        <v/>
      </c>
      <c r="K59" s="60">
        <f>K57/K49</f>
        <v/>
      </c>
      <c r="L59" s="60">
        <f>L57/L49</f>
        <v/>
      </c>
      <c r="M59" s="60">
        <f>M57/M49</f>
        <v/>
      </c>
      <c r="N59" s="60">
        <f>N57/N49</f>
        <v/>
      </c>
      <c r="O59" s="60">
        <f>O57/O49</f>
        <v/>
      </c>
      <c r="P59" s="60">
        <f>P57/P49</f>
        <v/>
      </c>
      <c r="Q59" s="60">
        <f>Q57/Q49</f>
        <v/>
      </c>
      <c r="R59" s="60">
        <f>R57/R49</f>
        <v/>
      </c>
    </row>
    <row r="60">
      <c r="B60" s="10" t="inlineStr">
        <is>
          <t>Other cost of revenues</t>
        </is>
      </c>
      <c r="C60" s="7" t="inlineStr">
        <is>
          <t>$mm</t>
        </is>
      </c>
      <c r="F60" s="12">
        <f>'Model'!F27</f>
        <v/>
      </c>
      <c r="G60" s="12">
        <f>'Model'!G27</f>
        <v/>
      </c>
      <c r="H60" s="12">
        <f>'Model'!H27</f>
        <v/>
      </c>
      <c r="I60" s="59">
        <f>I49*I61</f>
        <v/>
      </c>
      <c r="J60" s="47">
        <f>J49*J61</f>
        <v/>
      </c>
      <c r="K60" s="47">
        <f>K49*K61</f>
        <v/>
      </c>
      <c r="L60" s="47">
        <f>L49*L61</f>
        <v/>
      </c>
      <c r="M60" s="47">
        <f>M49*M61</f>
        <v/>
      </c>
      <c r="N60" s="47">
        <f>N49*N61</f>
        <v/>
      </c>
      <c r="O60" s="47">
        <f>O49*O61</f>
        <v/>
      </c>
      <c r="P60" s="47">
        <f>P49*P61</f>
        <v/>
      </c>
      <c r="Q60" s="47">
        <f>Q49*Q61</f>
        <v/>
      </c>
      <c r="R60" s="47">
        <f>R49*R61</f>
        <v/>
      </c>
    </row>
    <row r="61">
      <c r="B61" s="30" t="inlineStr">
        <is>
          <t>% of revenue</t>
        </is>
      </c>
      <c r="C61" s="7" t="inlineStr">
        <is>
          <t>%</t>
        </is>
      </c>
      <c r="F61" s="77">
        <f>'Model'!F28</f>
        <v/>
      </c>
      <c r="G61" s="77">
        <f>'Model'!G28</f>
        <v/>
      </c>
      <c r="H61" s="77">
        <f>'Model'!H28</f>
        <v/>
      </c>
      <c r="I61" s="76">
        <f>'Drivers'!I$87</f>
        <v/>
      </c>
      <c r="J61" s="77">
        <f>'Drivers'!J$87</f>
        <v/>
      </c>
      <c r="K61" s="77">
        <f>'Drivers'!K$87</f>
        <v/>
      </c>
      <c r="L61" s="77">
        <f>'Drivers'!L$87</f>
        <v/>
      </c>
      <c r="M61" s="77">
        <f>'Drivers'!M$87</f>
        <v/>
      </c>
      <c r="N61" s="77">
        <f>'Drivers'!N$87</f>
        <v/>
      </c>
      <c r="O61" s="77">
        <f>'Drivers'!O$87</f>
        <v/>
      </c>
      <c r="P61" s="77">
        <f>'Drivers'!P$87</f>
        <v/>
      </c>
      <c r="Q61" s="77">
        <f>'Drivers'!Q$87</f>
        <v/>
      </c>
      <c r="R61" s="77">
        <f>'Drivers'!R$87</f>
        <v/>
      </c>
    </row>
    <row r="62">
      <c r="B62" s="6" t="inlineStr">
        <is>
          <t>Gross profit</t>
        </is>
      </c>
      <c r="C62" s="7" t="inlineStr">
        <is>
          <t>$mm</t>
        </is>
      </c>
      <c r="F62" s="62">
        <f>'Model'!F29</f>
        <v/>
      </c>
      <c r="G62" s="62">
        <f>'Model'!G29</f>
        <v/>
      </c>
      <c r="H62" s="62">
        <f>'Model'!H29</f>
        <v/>
      </c>
      <c r="I62" s="61">
        <f>I49-I57-I60</f>
        <v/>
      </c>
      <c r="J62" s="56">
        <f>J49-J57-J60</f>
        <v/>
      </c>
      <c r="K62" s="56">
        <f>K49-K57-K60</f>
        <v/>
      </c>
      <c r="L62" s="56">
        <f>L49-L57-L60</f>
        <v/>
      </c>
      <c r="M62" s="56">
        <f>M49-M57-M60</f>
        <v/>
      </c>
      <c r="N62" s="56">
        <f>N49-N57-N60</f>
        <v/>
      </c>
      <c r="O62" s="56">
        <f>O49-O57-O60</f>
        <v/>
      </c>
      <c r="P62" s="56">
        <f>P49-P57-P60</f>
        <v/>
      </c>
      <c r="Q62" s="56">
        <f>Q49-Q57-Q60</f>
        <v/>
      </c>
      <c r="R62" s="56">
        <f>R49-R57-R60</f>
        <v/>
      </c>
    </row>
    <row r="63">
      <c r="B63" s="30" t="inlineStr">
        <is>
          <t>gross margin</t>
        </is>
      </c>
      <c r="C63" s="7" t="inlineStr">
        <is>
          <t>%</t>
        </is>
      </c>
      <c r="F63" s="77">
        <f>'Model'!F30</f>
        <v/>
      </c>
      <c r="G63" s="77">
        <f>'Model'!G30</f>
        <v/>
      </c>
      <c r="H63" s="77">
        <f>'Model'!H30</f>
        <v/>
      </c>
      <c r="I63" s="64">
        <f>I62/I49</f>
        <v/>
      </c>
      <c r="J63" s="60">
        <f>J62/J49</f>
        <v/>
      </c>
      <c r="K63" s="60">
        <f>K62/K49</f>
        <v/>
      </c>
      <c r="L63" s="60">
        <f>L62/L49</f>
        <v/>
      </c>
      <c r="M63" s="60">
        <f>M62/M49</f>
        <v/>
      </c>
      <c r="N63" s="60">
        <f>N62/N49</f>
        <v/>
      </c>
      <c r="O63" s="60">
        <f>O62/O49</f>
        <v/>
      </c>
      <c r="P63" s="60">
        <f>P62/P49</f>
        <v/>
      </c>
      <c r="Q63" s="60">
        <f>Q62/Q49</f>
        <v/>
      </c>
      <c r="R63" s="60">
        <f>R62/R49</f>
        <v/>
      </c>
    </row>
    <row r="64">
      <c r="B64" s="10" t="inlineStr">
        <is>
          <t>Operating expenses (sales and marketing, technology, G&amp;A)</t>
        </is>
      </c>
      <c r="C64" s="7" t="inlineStr">
        <is>
          <t>$mm</t>
        </is>
      </c>
      <c r="F64" s="12">
        <f>'Model'!F31</f>
        <v/>
      </c>
      <c r="G64" s="12">
        <f>'Model'!G31</f>
        <v/>
      </c>
      <c r="H64" s="12">
        <f>'Model'!H31</f>
        <v/>
      </c>
      <c r="I64" s="59">
        <f>I49*I65</f>
        <v/>
      </c>
      <c r="J64" s="47">
        <f>J49*J65</f>
        <v/>
      </c>
      <c r="K64" s="47">
        <f>K49*K65</f>
        <v/>
      </c>
      <c r="L64" s="47">
        <f>L49*L65</f>
        <v/>
      </c>
      <c r="M64" s="47">
        <f>M49*M65</f>
        <v/>
      </c>
      <c r="N64" s="47">
        <f>N49*N65</f>
        <v/>
      </c>
      <c r="O64" s="47">
        <f>O49*O65</f>
        <v/>
      </c>
      <c r="P64" s="47">
        <f>P49*P65</f>
        <v/>
      </c>
      <c r="Q64" s="47">
        <f>Q49*Q65</f>
        <v/>
      </c>
      <c r="R64" s="47">
        <f>R49*R65</f>
        <v/>
      </c>
    </row>
    <row r="65">
      <c r="B65" s="30" t="inlineStr">
        <is>
          <t>% of revenue</t>
        </is>
      </c>
      <c r="C65" s="7" t="inlineStr">
        <is>
          <t>%</t>
        </is>
      </c>
      <c r="F65" s="77">
        <f>'Model'!F32</f>
        <v/>
      </c>
      <c r="G65" s="77">
        <f>'Model'!G32</f>
        <v/>
      </c>
      <c r="H65" s="77">
        <f>'Model'!H32</f>
        <v/>
      </c>
      <c r="I65" s="76">
        <f>'Drivers'!I$90</f>
        <v/>
      </c>
      <c r="J65" s="77">
        <f>'Drivers'!J$90</f>
        <v/>
      </c>
      <c r="K65" s="77">
        <f>'Drivers'!K$90</f>
        <v/>
      </c>
      <c r="L65" s="77">
        <f>'Drivers'!L$90</f>
        <v/>
      </c>
      <c r="M65" s="77">
        <f>'Drivers'!M$90</f>
        <v/>
      </c>
      <c r="N65" s="77">
        <f>'Drivers'!N$90</f>
        <v/>
      </c>
      <c r="O65" s="77">
        <f>'Drivers'!O$90</f>
        <v/>
      </c>
      <c r="P65" s="77">
        <f>'Drivers'!P$90</f>
        <v/>
      </c>
      <c r="Q65" s="77">
        <f>'Drivers'!Q$90</f>
        <v/>
      </c>
      <c r="R65" s="77">
        <f>'Drivers'!R$90</f>
        <v/>
      </c>
    </row>
    <row r="66">
      <c r="B66" s="6" t="inlineStr">
        <is>
          <t>Operating income</t>
        </is>
      </c>
      <c r="C66" s="7" t="inlineStr">
        <is>
          <t>$mm</t>
        </is>
      </c>
      <c r="F66" s="62">
        <f>'Model'!F33</f>
        <v/>
      </c>
      <c r="G66" s="62">
        <f>'Model'!G33</f>
        <v/>
      </c>
      <c r="H66" s="62">
        <f>'Model'!H33</f>
        <v/>
      </c>
      <c r="I66" s="61">
        <f>I62-I64</f>
        <v/>
      </c>
      <c r="J66" s="56">
        <f>J62-J64</f>
        <v/>
      </c>
      <c r="K66" s="56">
        <f>K62-K64</f>
        <v/>
      </c>
      <c r="L66" s="56">
        <f>L62-L64</f>
        <v/>
      </c>
      <c r="M66" s="56">
        <f>M62-M64</f>
        <v/>
      </c>
      <c r="N66" s="56">
        <f>N62-N64</f>
        <v/>
      </c>
      <c r="O66" s="56">
        <f>O62-O64</f>
        <v/>
      </c>
      <c r="P66" s="56">
        <f>P62-P64</f>
        <v/>
      </c>
      <c r="Q66" s="56">
        <f>Q62-Q64</f>
        <v/>
      </c>
      <c r="R66" s="56">
        <f>R62-R64</f>
        <v/>
      </c>
    </row>
    <row r="67">
      <c r="B67" s="30" t="inlineStr">
        <is>
          <t>operating margin</t>
        </is>
      </c>
      <c r="C67" s="7" t="inlineStr">
        <is>
          <t>%</t>
        </is>
      </c>
      <c r="F67" s="77">
        <f>'Model'!F34</f>
        <v/>
      </c>
      <c r="G67" s="77">
        <f>'Model'!G34</f>
        <v/>
      </c>
      <c r="H67" s="77">
        <f>'Model'!H34</f>
        <v/>
      </c>
      <c r="I67" s="64">
        <f>I66/I49</f>
        <v/>
      </c>
      <c r="J67" s="60">
        <f>J66/J49</f>
        <v/>
      </c>
      <c r="K67" s="60">
        <f>K66/K49</f>
        <v/>
      </c>
      <c r="L67" s="60">
        <f>L66/L49</f>
        <v/>
      </c>
      <c r="M67" s="60">
        <f>M66/M49</f>
        <v/>
      </c>
      <c r="N67" s="60">
        <f>N66/N49</f>
        <v/>
      </c>
      <c r="O67" s="60">
        <f>O66/O49</f>
        <v/>
      </c>
      <c r="P67" s="60">
        <f>P66/P49</f>
        <v/>
      </c>
      <c r="Q67" s="60">
        <f>Q66/Q49</f>
        <v/>
      </c>
      <c r="R67" s="60">
        <f>R66/R49</f>
        <v/>
      </c>
    </row>
    <row r="68">
      <c r="B68" s="30" t="inlineStr">
        <is>
          <t>y/y</t>
        </is>
      </c>
      <c r="C68" s="7" t="inlineStr">
        <is>
          <t>%</t>
        </is>
      </c>
      <c r="G68" s="77">
        <f>'Model'!G35</f>
        <v/>
      </c>
      <c r="H68" s="77">
        <f>'Model'!H35</f>
        <v/>
      </c>
      <c r="I68" s="64">
        <f>I66/H66-1</f>
        <v/>
      </c>
      <c r="J68" s="60">
        <f>J66/I66-1</f>
        <v/>
      </c>
      <c r="K68" s="60">
        <f>K66/J66-1</f>
        <v/>
      </c>
      <c r="L68" s="60">
        <f>L66/K66-1</f>
        <v/>
      </c>
      <c r="M68" s="60">
        <f>M66/L66-1</f>
        <v/>
      </c>
      <c r="N68" s="60">
        <f>N66/M66-1</f>
        <v/>
      </c>
      <c r="O68" s="60">
        <f>O66/N66-1</f>
        <v/>
      </c>
      <c r="P68" s="60">
        <f>P66/O66-1</f>
        <v/>
      </c>
      <c r="Q68" s="60">
        <f>Q66/P66-1</f>
        <v/>
      </c>
      <c r="R68" s="60">
        <f>R66/Q66-1</f>
        <v/>
      </c>
    </row>
    <row r="69">
      <c r="B69" s="10" t="inlineStr">
        <is>
          <t>Interest expense</t>
        </is>
      </c>
      <c r="C69" s="7" t="inlineStr">
        <is>
          <t>$mm</t>
        </is>
      </c>
      <c r="F69" s="12">
        <f>'Model'!F36</f>
        <v/>
      </c>
      <c r="G69" s="12">
        <f>'Model'!G36</f>
        <v/>
      </c>
      <c r="H69" s="12">
        <f>'Model'!H36</f>
        <v/>
      </c>
      <c r="I69" s="32">
        <f>-H99*'Drivers'!I$62</f>
        <v/>
      </c>
      <c r="J69" s="12">
        <f>-I99*'Drivers'!J$62</f>
        <v/>
      </c>
      <c r="K69" s="12">
        <f>-J99*'Drivers'!K$62</f>
        <v/>
      </c>
      <c r="L69" s="12">
        <f>-K99*'Drivers'!L$62</f>
        <v/>
      </c>
      <c r="M69" s="12">
        <f>-L99*'Drivers'!M$62</f>
        <v/>
      </c>
      <c r="N69" s="12">
        <f>-M99*'Drivers'!N$62</f>
        <v/>
      </c>
      <c r="O69" s="12">
        <f>-N99*'Drivers'!O$62</f>
        <v/>
      </c>
      <c r="P69" s="12">
        <f>-O99*'Drivers'!P$62</f>
        <v/>
      </c>
      <c r="Q69" s="12">
        <f>-P99*'Drivers'!Q$62</f>
        <v/>
      </c>
      <c r="R69" s="12">
        <f>-Q99*'Drivers'!R$62</f>
        <v/>
      </c>
    </row>
    <row r="70">
      <c r="B70" s="10" t="inlineStr">
        <is>
          <t>Interest and other income (expense)</t>
        </is>
      </c>
      <c r="C70" s="7" t="inlineStr">
        <is>
          <t>$mm</t>
        </is>
      </c>
      <c r="F70" s="12">
        <f>'Model'!F37</f>
        <v/>
      </c>
      <c r="G70" s="12">
        <f>'Model'!G37</f>
        <v/>
      </c>
      <c r="H70" s="12">
        <f>'Model'!H37</f>
        <v/>
      </c>
      <c r="I70" s="32">
        <f>I97*'Drivers'!I$63+I71</f>
        <v/>
      </c>
      <c r="J70" s="12">
        <f>J97*'Drivers'!J$63+J71</f>
        <v/>
      </c>
      <c r="K70" s="12">
        <f>K97*'Drivers'!K$63+K71</f>
        <v/>
      </c>
      <c r="L70" s="12">
        <f>L97*'Drivers'!L$63+L71</f>
        <v/>
      </c>
      <c r="M70" s="12">
        <f>M97*'Drivers'!M$63+M71</f>
        <v/>
      </c>
      <c r="N70" s="12">
        <f>N97*'Drivers'!N$63+N71</f>
        <v/>
      </c>
      <c r="O70" s="12">
        <f>O97*'Drivers'!O$63+O71</f>
        <v/>
      </c>
      <c r="P70" s="12">
        <f>P97*'Drivers'!P$63+P71</f>
        <v/>
      </c>
      <c r="Q70" s="12">
        <f>Q97*'Drivers'!Q$63+Q71</f>
        <v/>
      </c>
      <c r="R70" s="12">
        <f>R97*'Drivers'!R$63+R71</f>
        <v/>
      </c>
    </row>
    <row r="71">
      <c r="B71" s="30" t="inlineStr">
        <is>
          <t>of which one-off (WBD termination fee)</t>
        </is>
      </c>
      <c r="C71" s="7" t="inlineStr">
        <is>
          <t>$mm</t>
        </is>
      </c>
      <c r="F71" s="79">
        <f>'Model'!F38</f>
        <v/>
      </c>
      <c r="G71" s="79">
        <f>'Model'!G38</f>
        <v/>
      </c>
      <c r="H71" s="79">
        <f>'Model'!H38</f>
        <v/>
      </c>
      <c r="I71" s="78">
        <f>'Drivers'!I$64</f>
        <v/>
      </c>
      <c r="J71" s="79">
        <f>'Drivers'!J$64</f>
        <v/>
      </c>
      <c r="K71" s="79">
        <f>'Drivers'!K$64</f>
        <v/>
      </c>
      <c r="L71" s="79">
        <f>'Drivers'!L$64</f>
        <v/>
      </c>
      <c r="M71" s="79">
        <f>'Drivers'!M$64</f>
        <v/>
      </c>
      <c r="N71" s="79">
        <f>'Drivers'!N$64</f>
        <v/>
      </c>
      <c r="O71" s="79">
        <f>'Drivers'!O$64</f>
        <v/>
      </c>
      <c r="P71" s="79">
        <f>'Drivers'!P$64</f>
        <v/>
      </c>
      <c r="Q71" s="79">
        <f>'Drivers'!Q$64</f>
        <v/>
      </c>
      <c r="R71" s="79">
        <f>'Drivers'!R$64</f>
        <v/>
      </c>
    </row>
    <row r="72">
      <c r="B72" s="10" t="inlineStr">
        <is>
          <t>Income before income taxes</t>
        </is>
      </c>
      <c r="C72" s="7" t="inlineStr">
        <is>
          <t>$mm</t>
        </is>
      </c>
      <c r="F72" s="107">
        <f>'Model'!F39</f>
        <v/>
      </c>
      <c r="G72" s="107">
        <f>'Model'!G39</f>
        <v/>
      </c>
      <c r="H72" s="107">
        <f>'Model'!H39</f>
        <v/>
      </c>
      <c r="I72" s="82">
        <f>I66+I69+I70</f>
        <v/>
      </c>
      <c r="J72" s="81">
        <f>J66+J69+J70</f>
        <v/>
      </c>
      <c r="K72" s="81">
        <f>K66+K69+K70</f>
        <v/>
      </c>
      <c r="L72" s="81">
        <f>L66+L69+L70</f>
        <v/>
      </c>
      <c r="M72" s="81">
        <f>M66+M69+M70</f>
        <v/>
      </c>
      <c r="N72" s="81">
        <f>N66+N69+N70</f>
        <v/>
      </c>
      <c r="O72" s="81">
        <f>O66+O69+O70</f>
        <v/>
      </c>
      <c r="P72" s="81">
        <f>P66+P69+P70</f>
        <v/>
      </c>
      <c r="Q72" s="81">
        <f>Q66+Q69+Q70</f>
        <v/>
      </c>
      <c r="R72" s="81">
        <f>R66+R69+R70</f>
        <v/>
      </c>
    </row>
    <row r="73">
      <c r="B73" s="10" t="inlineStr">
        <is>
          <t>Provision for income taxes</t>
        </is>
      </c>
      <c r="C73" s="7" t="inlineStr">
        <is>
          <t>$mm</t>
        </is>
      </c>
      <c r="F73" s="12">
        <f>'Model'!F40</f>
        <v/>
      </c>
      <c r="G73" s="12">
        <f>'Model'!G40</f>
        <v/>
      </c>
      <c r="H73" s="12">
        <f>'Model'!H40</f>
        <v/>
      </c>
      <c r="I73" s="59">
        <f>I72*I74</f>
        <v/>
      </c>
      <c r="J73" s="47">
        <f>J72*J74</f>
        <v/>
      </c>
      <c r="K73" s="47">
        <f>K72*K74</f>
        <v/>
      </c>
      <c r="L73" s="47">
        <f>L72*L74</f>
        <v/>
      </c>
      <c r="M73" s="47">
        <f>M72*M74</f>
        <v/>
      </c>
      <c r="N73" s="47">
        <f>N72*N74</f>
        <v/>
      </c>
      <c r="O73" s="47">
        <f>O72*O74</f>
        <v/>
      </c>
      <c r="P73" s="47">
        <f>P72*P74</f>
        <v/>
      </c>
      <c r="Q73" s="47">
        <f>Q72*Q74</f>
        <v/>
      </c>
      <c r="R73" s="47">
        <f>R72*R74</f>
        <v/>
      </c>
    </row>
    <row r="74">
      <c r="B74" s="30" t="inlineStr">
        <is>
          <t>effective tax rate</t>
        </is>
      </c>
      <c r="C74" s="7" t="inlineStr">
        <is>
          <t>%</t>
        </is>
      </c>
      <c r="F74" s="77">
        <f>'Model'!F41</f>
        <v/>
      </c>
      <c r="G74" s="77">
        <f>'Model'!G41</f>
        <v/>
      </c>
      <c r="H74" s="77">
        <f>'Model'!H41</f>
        <v/>
      </c>
      <c r="I74" s="76">
        <f>'Drivers'!I$61</f>
        <v/>
      </c>
      <c r="J74" s="77">
        <f>'Drivers'!J$61</f>
        <v/>
      </c>
      <c r="K74" s="77">
        <f>'Drivers'!K$61</f>
        <v/>
      </c>
      <c r="L74" s="77">
        <f>'Drivers'!L$61</f>
        <v/>
      </c>
      <c r="M74" s="77">
        <f>'Drivers'!M$61</f>
        <v/>
      </c>
      <c r="N74" s="77">
        <f>'Drivers'!N$61</f>
        <v/>
      </c>
      <c r="O74" s="77">
        <f>'Drivers'!O$61</f>
        <v/>
      </c>
      <c r="P74" s="77">
        <f>'Drivers'!P$61</f>
        <v/>
      </c>
      <c r="Q74" s="77">
        <f>'Drivers'!Q$61</f>
        <v/>
      </c>
      <c r="R74" s="77">
        <f>'Drivers'!R$61</f>
        <v/>
      </c>
    </row>
    <row r="75">
      <c r="B75" s="6" t="inlineStr">
        <is>
          <t>Net income</t>
        </is>
      </c>
      <c r="C75" s="7" t="inlineStr">
        <is>
          <t>$mm</t>
        </is>
      </c>
      <c r="F75" s="62">
        <f>'Model'!F42</f>
        <v/>
      </c>
      <c r="G75" s="62">
        <f>'Model'!G42</f>
        <v/>
      </c>
      <c r="H75" s="62">
        <f>'Model'!H42</f>
        <v/>
      </c>
      <c r="I75" s="61">
        <f>I72-I73</f>
        <v/>
      </c>
      <c r="J75" s="56">
        <f>J72-J73</f>
        <v/>
      </c>
      <c r="K75" s="56">
        <f>K72-K73</f>
        <v/>
      </c>
      <c r="L75" s="56">
        <f>L72-L73</f>
        <v/>
      </c>
      <c r="M75" s="56">
        <f>M72-M73</f>
        <v/>
      </c>
      <c r="N75" s="56">
        <f>N72-N73</f>
        <v/>
      </c>
      <c r="O75" s="56">
        <f>O72-O73</f>
        <v/>
      </c>
      <c r="P75" s="56">
        <f>P72-P73</f>
        <v/>
      </c>
      <c r="Q75" s="56">
        <f>Q72-Q73</f>
        <v/>
      </c>
      <c r="R75" s="56">
        <f>R72-R73</f>
        <v/>
      </c>
    </row>
    <row r="76">
      <c r="B76" s="30" t="inlineStr">
        <is>
          <t>net margin</t>
        </is>
      </c>
      <c r="C76" s="7" t="inlineStr">
        <is>
          <t>%</t>
        </is>
      </c>
      <c r="F76" s="77">
        <f>'Model'!F43</f>
        <v/>
      </c>
      <c r="G76" s="77">
        <f>'Model'!G43</f>
        <v/>
      </c>
      <c r="H76" s="77">
        <f>'Model'!H43</f>
        <v/>
      </c>
      <c r="I76" s="64">
        <f>I75/I49</f>
        <v/>
      </c>
      <c r="J76" s="60">
        <f>J75/J49</f>
        <v/>
      </c>
      <c r="K76" s="60">
        <f>K75/K49</f>
        <v/>
      </c>
      <c r="L76" s="60">
        <f>L75/L49</f>
        <v/>
      </c>
      <c r="M76" s="60">
        <f>M75/M49</f>
        <v/>
      </c>
      <c r="N76" s="60">
        <f>N75/N49</f>
        <v/>
      </c>
      <c r="O76" s="60">
        <f>O75/O49</f>
        <v/>
      </c>
      <c r="P76" s="60">
        <f>P75/P49</f>
        <v/>
      </c>
      <c r="Q76" s="60">
        <f>Q75/Q49</f>
        <v/>
      </c>
      <c r="R76" s="60">
        <f>R75/R49</f>
        <v/>
      </c>
    </row>
    <row r="77">
      <c r="B77" s="10" t="inlineStr">
        <is>
          <t>Diluted shares, weighted average</t>
        </is>
      </c>
      <c r="C77" s="7" t="inlineStr">
        <is>
          <t>mm</t>
        </is>
      </c>
      <c r="F77" s="11">
        <f>'Model'!F44</f>
        <v/>
      </c>
      <c r="G77" s="11">
        <f>'Model'!G44</f>
        <v/>
      </c>
      <c r="H77" s="11">
        <f>'Model'!H44</f>
        <v/>
      </c>
      <c r="I77" s="83">
        <f>(H106+I106)/2</f>
        <v/>
      </c>
      <c r="J77" s="84">
        <f>(I106+J106)/2</f>
        <v/>
      </c>
      <c r="K77" s="84">
        <f>(J106+K106)/2</f>
        <v/>
      </c>
      <c r="L77" s="84">
        <f>(K106+L106)/2</f>
        <v/>
      </c>
      <c r="M77" s="84">
        <f>(L106+M106)/2</f>
        <v/>
      </c>
      <c r="N77" s="84">
        <f>(M106+N106)/2</f>
        <v/>
      </c>
      <c r="O77" s="84">
        <f>(N106+O106)/2</f>
        <v/>
      </c>
      <c r="P77" s="84">
        <f>(O106+P106)/2</f>
        <v/>
      </c>
      <c r="Q77" s="84">
        <f>(P106+Q106)/2</f>
        <v/>
      </c>
      <c r="R77" s="84">
        <f>(Q106+R106)/2</f>
        <v/>
      </c>
    </row>
    <row r="78">
      <c r="B78" s="6" t="inlineStr">
        <is>
          <t>Diluted EPS, GAAP</t>
        </is>
      </c>
      <c r="C78" s="7" t="inlineStr">
        <is>
          <t>$</t>
        </is>
      </c>
      <c r="F78" s="22">
        <f>'Model'!F45</f>
        <v/>
      </c>
      <c r="G78" s="22">
        <f>'Model'!G45</f>
        <v/>
      </c>
      <c r="H78" s="22">
        <f>'Model'!H45</f>
        <v/>
      </c>
      <c r="I78" s="70">
        <f>I75/I77</f>
        <v/>
      </c>
      <c r="J78" s="69">
        <f>J75/J77</f>
        <v/>
      </c>
      <c r="K78" s="69">
        <f>K75/K77</f>
        <v/>
      </c>
      <c r="L78" s="69">
        <f>L75/L77</f>
        <v/>
      </c>
      <c r="M78" s="69">
        <f>M75/M77</f>
        <v/>
      </c>
      <c r="N78" s="69">
        <f>N75/N77</f>
        <v/>
      </c>
      <c r="O78" s="69">
        <f>O75/O77</f>
        <v/>
      </c>
      <c r="P78" s="69">
        <f>P75/P77</f>
        <v/>
      </c>
      <c r="Q78" s="69">
        <f>Q75/Q77</f>
        <v/>
      </c>
      <c r="R78" s="69">
        <f>R75/R77</f>
        <v/>
      </c>
    </row>
    <row r="79">
      <c r="B79" s="30" t="inlineStr">
        <is>
          <t>y/y</t>
        </is>
      </c>
      <c r="C79" s="7" t="inlineStr">
        <is>
          <t>%</t>
        </is>
      </c>
      <c r="G79" s="77">
        <f>'Model'!G46</f>
        <v/>
      </c>
      <c r="H79" s="77">
        <f>'Model'!H46</f>
        <v/>
      </c>
      <c r="I79" s="64">
        <f>I78/H78-1</f>
        <v/>
      </c>
      <c r="J79" s="60">
        <f>J78/I78-1</f>
        <v/>
      </c>
      <c r="K79" s="60">
        <f>K78/J78-1</f>
        <v/>
      </c>
      <c r="L79" s="60">
        <f>L78/K78-1</f>
        <v/>
      </c>
      <c r="M79" s="60">
        <f>M78/L78-1</f>
        <v/>
      </c>
      <c r="N79" s="60">
        <f>N78/M78-1</f>
        <v/>
      </c>
      <c r="O79" s="60">
        <f>O78/N78-1</f>
        <v/>
      </c>
      <c r="P79" s="60">
        <f>P78/O78-1</f>
        <v/>
      </c>
      <c r="Q79" s="60">
        <f>Q78/P78-1</f>
        <v/>
      </c>
      <c r="R79" s="60">
        <f>R78/Q78-1</f>
        <v/>
      </c>
    </row>
    <row r="80">
      <c r="B80" s="6" t="inlineStr">
        <is>
          <t>Diluted EPS ex one-offs</t>
        </is>
      </c>
      <c r="C80" s="7" t="inlineStr">
        <is>
          <t>$</t>
        </is>
      </c>
      <c r="F80" s="22">
        <f>'Model'!F47</f>
        <v/>
      </c>
      <c r="G80" s="22">
        <f>'Model'!G47</f>
        <v/>
      </c>
      <c r="H80" s="22">
        <f>'Model'!H47</f>
        <v/>
      </c>
      <c r="I80" s="70">
        <f>(I72-I71)*(1-I74)/I77</f>
        <v/>
      </c>
      <c r="J80" s="69">
        <f>(J72-J71)*(1-J74)/J77</f>
        <v/>
      </c>
      <c r="K80" s="69">
        <f>(K72-K71)*(1-K74)/K77</f>
        <v/>
      </c>
      <c r="L80" s="69">
        <f>(L72-L71)*(1-L74)/L77</f>
        <v/>
      </c>
      <c r="M80" s="69">
        <f>(M72-M71)*(1-M74)/M77</f>
        <v/>
      </c>
      <c r="N80" s="69">
        <f>(N72-N71)*(1-N74)/N77</f>
        <v/>
      </c>
      <c r="O80" s="69">
        <f>(O72-O71)*(1-O74)/O77</f>
        <v/>
      </c>
      <c r="P80" s="69">
        <f>(P72-P71)*(1-P74)/P77</f>
        <v/>
      </c>
      <c r="Q80" s="69">
        <f>(Q72-Q71)*(1-Q74)/Q77</f>
        <v/>
      </c>
      <c r="R80" s="69">
        <f>(R72-R71)*(1-R74)/R77</f>
        <v/>
      </c>
    </row>
    <row r="81">
      <c r="B81" s="30" t="inlineStr">
        <is>
          <t>y/y</t>
        </is>
      </c>
      <c r="C81" s="7" t="inlineStr">
        <is>
          <t>%</t>
        </is>
      </c>
      <c r="G81" s="77">
        <f>'Model'!G48</f>
        <v/>
      </c>
      <c r="H81" s="77">
        <f>'Model'!H48</f>
        <v/>
      </c>
      <c r="I81" s="64">
        <f>I80/H80-1</f>
        <v/>
      </c>
      <c r="J81" s="60">
        <f>J80/I80-1</f>
        <v/>
      </c>
      <c r="K81" s="60">
        <f>K80/J80-1</f>
        <v/>
      </c>
      <c r="L81" s="60">
        <f>L80/K80-1</f>
        <v/>
      </c>
      <c r="M81" s="60">
        <f>M80/L80-1</f>
        <v/>
      </c>
      <c r="N81" s="60">
        <f>N80/M80-1</f>
        <v/>
      </c>
      <c r="O81" s="60">
        <f>O80/N80-1</f>
        <v/>
      </c>
      <c r="P81" s="60">
        <f>P80/O80-1</f>
        <v/>
      </c>
      <c r="Q81" s="60">
        <f>Q80/P80-1</f>
        <v/>
      </c>
      <c r="R81" s="60">
        <f>R80/Q80-1</f>
        <v/>
      </c>
    </row>
    <row r="82">
      <c r="I82" s="65" t="n"/>
    </row>
    <row r="83">
      <c r="B83" s="4" t="inlineStr">
        <is>
          <t>CASH FLOW, BUYBACKS AND NET DEBT</t>
        </is>
      </c>
      <c r="C83" s="5" t="n"/>
      <c r="D83" s="5" t="n"/>
      <c r="E83" s="5" t="n"/>
      <c r="F83" s="5" t="n"/>
      <c r="G83" s="5" t="n"/>
      <c r="H83" s="5" t="n"/>
      <c r="I83" s="66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B84" s="10" t="inlineStr">
        <is>
          <t>NOPAT (operating income after tax)</t>
        </is>
      </c>
      <c r="C84" s="7" t="inlineStr">
        <is>
          <t>$mm</t>
        </is>
      </c>
      <c r="I84" s="59">
        <f>I66*(1-I74)</f>
        <v/>
      </c>
      <c r="J84" s="47">
        <f>J66*(1-J74)</f>
        <v/>
      </c>
      <c r="K84" s="47">
        <f>K66*(1-K74)</f>
        <v/>
      </c>
      <c r="L84" s="47">
        <f>L66*(1-L74)</f>
        <v/>
      </c>
      <c r="M84" s="47">
        <f>M66*(1-M74)</f>
        <v/>
      </c>
      <c r="N84" s="47">
        <f>N66*(1-N74)</f>
        <v/>
      </c>
      <c r="O84" s="47">
        <f>O66*(1-O74)</f>
        <v/>
      </c>
      <c r="P84" s="47">
        <f>P66*(1-P74)</f>
        <v/>
      </c>
      <c r="Q84" s="47">
        <f>Q66*(1-Q74)</f>
        <v/>
      </c>
      <c r="R84" s="47">
        <f>R66*(1-R74)</f>
        <v/>
      </c>
    </row>
    <row r="85">
      <c r="B85" s="10" t="inlineStr">
        <is>
          <t>Plus: content amortization</t>
        </is>
      </c>
      <c r="C85" s="7" t="inlineStr">
        <is>
          <t>$mm</t>
        </is>
      </c>
      <c r="F85" s="12">
        <f>'Model'!F52</f>
        <v/>
      </c>
      <c r="G85" s="12">
        <f>'Model'!G52</f>
        <v/>
      </c>
      <c r="H85" s="12">
        <f>'Model'!H52</f>
        <v/>
      </c>
      <c r="I85" s="59">
        <f>I57</f>
        <v/>
      </c>
      <c r="J85" s="47">
        <f>J57</f>
        <v/>
      </c>
      <c r="K85" s="47">
        <f>K57</f>
        <v/>
      </c>
      <c r="L85" s="47">
        <f>L57</f>
        <v/>
      </c>
      <c r="M85" s="47">
        <f>M57</f>
        <v/>
      </c>
      <c r="N85" s="47">
        <f>N57</f>
        <v/>
      </c>
      <c r="O85" s="47">
        <f>O57</f>
        <v/>
      </c>
      <c r="P85" s="47">
        <f>P57</f>
        <v/>
      </c>
      <c r="Q85" s="47">
        <f>Q57</f>
        <v/>
      </c>
      <c r="R85" s="47">
        <f>R57</f>
        <v/>
      </c>
    </row>
    <row r="86">
      <c r="B86" s="10" t="inlineStr">
        <is>
          <t>Less: cash content spend</t>
        </is>
      </c>
      <c r="C86" s="7" t="inlineStr">
        <is>
          <t>$mm</t>
        </is>
      </c>
      <c r="F86" s="12">
        <f>'Model'!F53</f>
        <v/>
      </c>
      <c r="G86" s="12">
        <f>'Model'!G53</f>
        <v/>
      </c>
      <c r="H86" s="12">
        <f>'Model'!H53</f>
        <v/>
      </c>
      <c r="I86" s="32">
        <f>-I57*'Drivers'!I$56</f>
        <v/>
      </c>
      <c r="J86" s="12">
        <f>-J57*'Drivers'!J$56</f>
        <v/>
      </c>
      <c r="K86" s="12">
        <f>-K57*'Drivers'!K$56</f>
        <v/>
      </c>
      <c r="L86" s="12">
        <f>-L57*'Drivers'!L$56</f>
        <v/>
      </c>
      <c r="M86" s="12">
        <f>-M57*'Drivers'!M$56</f>
        <v/>
      </c>
      <c r="N86" s="12">
        <f>-N57*'Drivers'!N$56</f>
        <v/>
      </c>
      <c r="O86" s="12">
        <f>-O57*'Drivers'!O$56</f>
        <v/>
      </c>
      <c r="P86" s="12">
        <f>-P57*'Drivers'!P$56</f>
        <v/>
      </c>
      <c r="Q86" s="12">
        <f>-Q57*'Drivers'!Q$56</f>
        <v/>
      </c>
      <c r="R86" s="12">
        <f>-R57*'Drivers'!R$56</f>
        <v/>
      </c>
    </row>
    <row r="87">
      <c r="B87" s="30" t="inlineStr">
        <is>
          <t>cash content spend / amortization</t>
        </is>
      </c>
      <c r="C87" s="7" t="inlineStr">
        <is>
          <t>x</t>
        </is>
      </c>
      <c r="F87" s="74">
        <f>'Model'!F54</f>
        <v/>
      </c>
      <c r="G87" s="74">
        <f>'Model'!G54</f>
        <v/>
      </c>
      <c r="H87" s="74">
        <f>'Model'!H54</f>
        <v/>
      </c>
      <c r="I87" s="85">
        <f>-I86/I85</f>
        <v/>
      </c>
      <c r="J87" s="73">
        <f>-J86/J85</f>
        <v/>
      </c>
      <c r="K87" s="73">
        <f>-K86/K85</f>
        <v/>
      </c>
      <c r="L87" s="73">
        <f>-L86/L85</f>
        <v/>
      </c>
      <c r="M87" s="73">
        <f>-M86/M85</f>
        <v/>
      </c>
      <c r="N87" s="73">
        <f>-N86/N85</f>
        <v/>
      </c>
      <c r="O87" s="73">
        <f>-O86/O85</f>
        <v/>
      </c>
      <c r="P87" s="73">
        <f>-P86/P85</f>
        <v/>
      </c>
      <c r="Q87" s="73">
        <f>-Q86/Q85</f>
        <v/>
      </c>
      <c r="R87" s="73">
        <f>-R86/R85</f>
        <v/>
      </c>
    </row>
    <row r="88">
      <c r="B88" s="10" t="inlineStr">
        <is>
          <t>Plus: depreciation and amortization ex content</t>
        </is>
      </c>
      <c r="C88" s="7" t="inlineStr">
        <is>
          <t>$mm</t>
        </is>
      </c>
      <c r="F88" s="12">
        <f>'Model'!F55</f>
        <v/>
      </c>
      <c r="G88" s="12">
        <f>'Model'!G55</f>
        <v/>
      </c>
      <c r="H88" s="12">
        <f>'Model'!H55</f>
        <v/>
      </c>
      <c r="I88" s="32">
        <f>I49*'Drivers'!I$57</f>
        <v/>
      </c>
      <c r="J88" s="12">
        <f>J49*'Drivers'!J$57</f>
        <v/>
      </c>
      <c r="K88" s="12">
        <f>K49*'Drivers'!K$57</f>
        <v/>
      </c>
      <c r="L88" s="12">
        <f>L49*'Drivers'!L$57</f>
        <v/>
      </c>
      <c r="M88" s="12">
        <f>M49*'Drivers'!M$57</f>
        <v/>
      </c>
      <c r="N88" s="12">
        <f>N49*'Drivers'!N$57</f>
        <v/>
      </c>
      <c r="O88" s="12">
        <f>O49*'Drivers'!O$57</f>
        <v/>
      </c>
      <c r="P88" s="12">
        <f>P49*'Drivers'!P$57</f>
        <v/>
      </c>
      <c r="Q88" s="12">
        <f>Q49*'Drivers'!Q$57</f>
        <v/>
      </c>
      <c r="R88" s="12">
        <f>R49*'Drivers'!R$57</f>
        <v/>
      </c>
    </row>
    <row r="89">
      <c r="B89" s="10" t="inlineStr">
        <is>
          <t>Plus: stock-based compensation</t>
        </is>
      </c>
      <c r="C89" s="7" t="inlineStr">
        <is>
          <t>$mm</t>
        </is>
      </c>
      <c r="F89" s="12">
        <f>'Model'!F56</f>
        <v/>
      </c>
      <c r="G89" s="12">
        <f>'Model'!G56</f>
        <v/>
      </c>
      <c r="H89" s="12">
        <f>'Model'!H56</f>
        <v/>
      </c>
      <c r="I89" s="32">
        <f>I49*'Drivers'!I$58</f>
        <v/>
      </c>
      <c r="J89" s="12">
        <f>J49*'Drivers'!J$58</f>
        <v/>
      </c>
      <c r="K89" s="12">
        <f>K49*'Drivers'!K$58</f>
        <v/>
      </c>
      <c r="L89" s="12">
        <f>L49*'Drivers'!L$58</f>
        <v/>
      </c>
      <c r="M89" s="12">
        <f>M49*'Drivers'!M$58</f>
        <v/>
      </c>
      <c r="N89" s="12">
        <f>N49*'Drivers'!N$58</f>
        <v/>
      </c>
      <c r="O89" s="12">
        <f>O49*'Drivers'!O$58</f>
        <v/>
      </c>
      <c r="P89" s="12">
        <f>P49*'Drivers'!P$58</f>
        <v/>
      </c>
      <c r="Q89" s="12">
        <f>Q49*'Drivers'!Q$58</f>
        <v/>
      </c>
      <c r="R89" s="12">
        <f>R49*'Drivers'!R$58</f>
        <v/>
      </c>
    </row>
    <row r="90">
      <c r="B90" s="10" t="inlineStr">
        <is>
          <t>Less: capital expenditures</t>
        </is>
      </c>
      <c r="C90" s="7" t="inlineStr">
        <is>
          <t>$mm</t>
        </is>
      </c>
      <c r="F90" s="12">
        <f>'Model'!F57</f>
        <v/>
      </c>
      <c r="G90" s="12">
        <f>'Model'!G57</f>
        <v/>
      </c>
      <c r="H90" s="12">
        <f>'Model'!H57</f>
        <v/>
      </c>
      <c r="I90" s="32">
        <f>-I49*'Drivers'!I$59</f>
        <v/>
      </c>
      <c r="J90" s="12">
        <f>-J49*'Drivers'!J$59</f>
        <v/>
      </c>
      <c r="K90" s="12">
        <f>-K49*'Drivers'!K$59</f>
        <v/>
      </c>
      <c r="L90" s="12">
        <f>-L49*'Drivers'!L$59</f>
        <v/>
      </c>
      <c r="M90" s="12">
        <f>-M49*'Drivers'!M$59</f>
        <v/>
      </c>
      <c r="N90" s="12">
        <f>-N49*'Drivers'!N$59</f>
        <v/>
      </c>
      <c r="O90" s="12">
        <f>-O49*'Drivers'!O$59</f>
        <v/>
      </c>
      <c r="P90" s="12">
        <f>-P49*'Drivers'!P$59</f>
        <v/>
      </c>
      <c r="Q90" s="12">
        <f>-Q49*'Drivers'!Q$59</f>
        <v/>
      </c>
      <c r="R90" s="12">
        <f>-R49*'Drivers'!R$59</f>
        <v/>
      </c>
    </row>
    <row r="91">
      <c r="B91" s="10" t="inlineStr">
        <is>
          <t>Other operating cash items</t>
        </is>
      </c>
      <c r="C91" s="7" t="inlineStr">
        <is>
          <t>$mm</t>
        </is>
      </c>
      <c r="F91" s="12">
        <f>'Model'!F58</f>
        <v/>
      </c>
      <c r="G91" s="12">
        <f>'Model'!G58</f>
        <v/>
      </c>
      <c r="H91" s="12">
        <f>'Model'!H58</f>
        <v/>
      </c>
      <c r="I91" s="32">
        <f>I49*'Drivers'!I$60</f>
        <v/>
      </c>
      <c r="J91" s="12">
        <f>J49*'Drivers'!J$60</f>
        <v/>
      </c>
      <c r="K91" s="12">
        <f>K49*'Drivers'!K$60</f>
        <v/>
      </c>
      <c r="L91" s="12">
        <f>L49*'Drivers'!L$60</f>
        <v/>
      </c>
      <c r="M91" s="12">
        <f>M49*'Drivers'!M$60</f>
        <v/>
      </c>
      <c r="N91" s="12">
        <f>N49*'Drivers'!N$60</f>
        <v/>
      </c>
      <c r="O91" s="12">
        <f>O49*'Drivers'!O$60</f>
        <v/>
      </c>
      <c r="P91" s="12">
        <f>P49*'Drivers'!P$60</f>
        <v/>
      </c>
      <c r="Q91" s="12">
        <f>Q49*'Drivers'!Q$60</f>
        <v/>
      </c>
      <c r="R91" s="12">
        <f>R49*'Drivers'!R$60</f>
        <v/>
      </c>
    </row>
    <row r="92">
      <c r="B92" s="6" t="inlineStr">
        <is>
          <t>Unlevered free cash flow</t>
        </is>
      </c>
      <c r="C92" s="7" t="inlineStr">
        <is>
          <t>$mm</t>
        </is>
      </c>
      <c r="I92" s="61">
        <f>I84+I85+I86+I88+I89+I90+I91</f>
        <v/>
      </c>
      <c r="J92" s="56">
        <f>J84+J85+J86+J88+J89+J90+J91</f>
        <v/>
      </c>
      <c r="K92" s="56">
        <f>K84+K85+K86+K88+K89+K90+K91</f>
        <v/>
      </c>
      <c r="L92" s="56">
        <f>L84+L85+L86+L88+L89+L90+L91</f>
        <v/>
      </c>
      <c r="M92" s="56">
        <f>M84+M85+M86+M88+M89+M90+M91</f>
        <v/>
      </c>
      <c r="N92" s="56">
        <f>N84+N85+N86+N88+N89+N90+N91</f>
        <v/>
      </c>
      <c r="O92" s="56">
        <f>O84+O85+O86+O88+O89+O90+O91</f>
        <v/>
      </c>
      <c r="P92" s="56">
        <f>P84+P85+P86+P88+P89+P90+P91</f>
        <v/>
      </c>
      <c r="Q92" s="56">
        <f>Q84+Q85+Q86+Q88+Q89+Q90+Q91</f>
        <v/>
      </c>
      <c r="R92" s="56">
        <f>R84+R85+R86+R88+R89+R90+R91</f>
        <v/>
      </c>
    </row>
    <row r="93">
      <c r="B93" s="10" t="inlineStr">
        <is>
          <t>Plus: interest and other income, after tax</t>
        </is>
      </c>
      <c r="C93" s="7" t="inlineStr">
        <is>
          <t>$mm</t>
        </is>
      </c>
      <c r="I93" s="59">
        <f>(I69+I70)*(1-I74)</f>
        <v/>
      </c>
      <c r="J93" s="47">
        <f>(J69+J70)*(1-J74)</f>
        <v/>
      </c>
      <c r="K93" s="47">
        <f>(K69+K70)*(1-K74)</f>
        <v/>
      </c>
      <c r="L93" s="47">
        <f>(L69+L70)*(1-L74)</f>
        <v/>
      </c>
      <c r="M93" s="47">
        <f>(M69+M70)*(1-M74)</f>
        <v/>
      </c>
      <c r="N93" s="47">
        <f>(N69+N70)*(1-N74)</f>
        <v/>
      </c>
      <c r="O93" s="47">
        <f>(O69+O70)*(1-O74)</f>
        <v/>
      </c>
      <c r="P93" s="47">
        <f>(P69+P70)*(1-P74)</f>
        <v/>
      </c>
      <c r="Q93" s="47">
        <f>(Q69+Q70)*(1-Q74)</f>
        <v/>
      </c>
      <c r="R93" s="47">
        <f>(R69+R70)*(1-R74)</f>
        <v/>
      </c>
    </row>
    <row r="94">
      <c r="B94" s="6" t="inlineStr">
        <is>
          <t>Free cash flow</t>
        </is>
      </c>
      <c r="C94" s="7" t="inlineStr">
        <is>
          <t>$mm</t>
        </is>
      </c>
      <c r="F94" s="13">
        <f>'Model'!F61</f>
        <v/>
      </c>
      <c r="G94" s="13">
        <f>'Model'!G61</f>
        <v/>
      </c>
      <c r="H94" s="13">
        <f>'Model'!H61</f>
        <v/>
      </c>
      <c r="I94" s="72">
        <f>I92+I93</f>
        <v/>
      </c>
      <c r="J94" s="46">
        <f>J92+J93</f>
        <v/>
      </c>
      <c r="K94" s="46">
        <f>K92+K93</f>
        <v/>
      </c>
      <c r="L94" s="46">
        <f>L92+L93</f>
        <v/>
      </c>
      <c r="M94" s="46">
        <f>M92+M93</f>
        <v/>
      </c>
      <c r="N94" s="46">
        <f>N92+N93</f>
        <v/>
      </c>
      <c r="O94" s="46">
        <f>O92+O93</f>
        <v/>
      </c>
      <c r="P94" s="46">
        <f>P92+P93</f>
        <v/>
      </c>
      <c r="Q94" s="46">
        <f>Q92+Q93</f>
        <v/>
      </c>
      <c r="R94" s="46">
        <f>R92+R93</f>
        <v/>
      </c>
    </row>
    <row r="95">
      <c r="B95" s="30" t="inlineStr">
        <is>
          <t>FCF margin</t>
        </is>
      </c>
      <c r="C95" s="7" t="inlineStr">
        <is>
          <t>%</t>
        </is>
      </c>
      <c r="F95" s="77">
        <f>'Model'!F62</f>
        <v/>
      </c>
      <c r="G95" s="77">
        <f>'Model'!G62</f>
        <v/>
      </c>
      <c r="H95" s="77">
        <f>'Model'!H62</f>
        <v/>
      </c>
      <c r="I95" s="64">
        <f>I94/I49</f>
        <v/>
      </c>
      <c r="J95" s="60">
        <f>J94/J49</f>
        <v/>
      </c>
      <c r="K95" s="60">
        <f>K94/K49</f>
        <v/>
      </c>
      <c r="L95" s="60">
        <f>L94/L49</f>
        <v/>
      </c>
      <c r="M95" s="60">
        <f>M94/M49</f>
        <v/>
      </c>
      <c r="N95" s="60">
        <f>N94/N49</f>
        <v/>
      </c>
      <c r="O95" s="60">
        <f>O94/O49</f>
        <v/>
      </c>
      <c r="P95" s="60">
        <f>P94/P49</f>
        <v/>
      </c>
      <c r="Q95" s="60">
        <f>Q94/Q49</f>
        <v/>
      </c>
      <c r="R95" s="60">
        <f>R94/R49</f>
        <v/>
      </c>
    </row>
    <row r="96">
      <c r="B96" s="30" t="inlineStr">
        <is>
          <t>FCF ex one-offs</t>
        </is>
      </c>
      <c r="C96" s="7" t="inlineStr">
        <is>
          <t>$mm</t>
        </is>
      </c>
      <c r="F96" s="79">
        <f>'Model'!F63</f>
        <v/>
      </c>
      <c r="G96" s="79">
        <f>'Model'!G63</f>
        <v/>
      </c>
      <c r="H96" s="79">
        <f>'Model'!H63</f>
        <v/>
      </c>
      <c r="I96" s="80">
        <f>I94-I71*(1-I74)</f>
        <v/>
      </c>
      <c r="J96" s="67">
        <f>J94-J71*(1-J74)</f>
        <v/>
      </c>
      <c r="K96" s="67">
        <f>K94-K71*(1-K74)</f>
        <v/>
      </c>
      <c r="L96" s="67">
        <f>L94-L71*(1-L74)</f>
        <v/>
      </c>
      <c r="M96" s="67">
        <f>M94-M71*(1-M74)</f>
        <v/>
      </c>
      <c r="N96" s="67">
        <f>N94-N71*(1-N74)</f>
        <v/>
      </c>
      <c r="O96" s="67">
        <f>O94-O71*(1-O74)</f>
        <v/>
      </c>
      <c r="P96" s="67">
        <f>P94-P71*(1-P74)</f>
        <v/>
      </c>
      <c r="Q96" s="67">
        <f>Q94-Q71*(1-Q74)</f>
        <v/>
      </c>
      <c r="R96" s="67">
        <f>R94-R71*(1-R74)</f>
        <v/>
      </c>
    </row>
    <row r="97">
      <c r="B97" s="10" t="inlineStr">
        <is>
          <t>Cash, beginning of year</t>
        </is>
      </c>
      <c r="C97" s="7" t="inlineStr">
        <is>
          <t>$mm</t>
        </is>
      </c>
      <c r="I97" s="59">
        <f>H103</f>
        <v/>
      </c>
      <c r="J97" s="47">
        <f>I103</f>
        <v/>
      </c>
      <c r="K97" s="47">
        <f>J103</f>
        <v/>
      </c>
      <c r="L97" s="47">
        <f>K103</f>
        <v/>
      </c>
      <c r="M97" s="47">
        <f>L103</f>
        <v/>
      </c>
      <c r="N97" s="47">
        <f>M103</f>
        <v/>
      </c>
      <c r="O97" s="47">
        <f>N103</f>
        <v/>
      </c>
      <c r="P97" s="47">
        <f>O103</f>
        <v/>
      </c>
      <c r="Q97" s="47">
        <f>P103</f>
        <v/>
      </c>
      <c r="R97" s="47">
        <f>Q103</f>
        <v/>
      </c>
    </row>
    <row r="98">
      <c r="B98" s="10" t="inlineStr">
        <is>
          <t>Cash held  (months of revenue)</t>
        </is>
      </c>
      <c r="C98" s="7" t="inlineStr">
        <is>
          <t>$mm</t>
        </is>
      </c>
      <c r="I98" s="32">
        <f>I49*'Drivers'!$D$32/12</f>
        <v/>
      </c>
      <c r="J98" s="12">
        <f>J49*'Drivers'!$D$32/12</f>
        <v/>
      </c>
      <c r="K98" s="12">
        <f>K49*'Drivers'!$D$32/12</f>
        <v/>
      </c>
      <c r="L98" s="12">
        <f>L49*'Drivers'!$D$32/12</f>
        <v/>
      </c>
      <c r="M98" s="12">
        <f>M49*'Drivers'!$D$32/12</f>
        <v/>
      </c>
      <c r="N98" s="12">
        <f>N49*'Drivers'!$D$32/12</f>
        <v/>
      </c>
      <c r="O98" s="12">
        <f>O49*'Drivers'!$D$32/12</f>
        <v/>
      </c>
      <c r="P98" s="12">
        <f>P49*'Drivers'!$D$32/12</f>
        <v/>
      </c>
      <c r="Q98" s="12">
        <f>Q49*'Drivers'!$D$32/12</f>
        <v/>
      </c>
      <c r="R98" s="12">
        <f>R49*'Drivers'!$D$32/12</f>
        <v/>
      </c>
    </row>
    <row r="99">
      <c r="B99" s="10" t="inlineStr">
        <is>
          <t>Gross debt, end of year</t>
        </is>
      </c>
      <c r="C99" s="7" t="inlineStr">
        <is>
          <t>$mm</t>
        </is>
      </c>
      <c r="F99" s="12">
        <f>'Model'!F66</f>
        <v/>
      </c>
      <c r="G99" s="12">
        <f>'Model'!G66</f>
        <v/>
      </c>
      <c r="H99" s="12">
        <f>'Model'!H66</f>
        <v/>
      </c>
      <c r="I99" s="32">
        <f>'Drivers'!I$65</f>
        <v/>
      </c>
      <c r="J99" s="12">
        <f>'Drivers'!J$65</f>
        <v/>
      </c>
      <c r="K99" s="12">
        <f>'Drivers'!K$65</f>
        <v/>
      </c>
      <c r="L99" s="12">
        <f>'Drivers'!L$65</f>
        <v/>
      </c>
      <c r="M99" s="12">
        <f>'Drivers'!M$65</f>
        <v/>
      </c>
      <c r="N99" s="12">
        <f>'Drivers'!N$65</f>
        <v/>
      </c>
      <c r="O99" s="12">
        <f>'Drivers'!O$65</f>
        <v/>
      </c>
      <c r="P99" s="12">
        <f>'Drivers'!P$65</f>
        <v/>
      </c>
      <c r="Q99" s="12">
        <f>'Drivers'!Q$65</f>
        <v/>
      </c>
      <c r="R99" s="12">
        <f>'Drivers'!R$65</f>
        <v/>
      </c>
    </row>
    <row r="100">
      <c r="B100" s="10" t="inlineStr">
        <is>
          <t>Debt issued / (repaid)</t>
        </is>
      </c>
      <c r="C100" s="7" t="inlineStr">
        <is>
          <t>$mm</t>
        </is>
      </c>
      <c r="I100" s="59">
        <f>I99-H99</f>
        <v/>
      </c>
      <c r="J100" s="47">
        <f>J99-I99</f>
        <v/>
      </c>
      <c r="K100" s="47">
        <f>K99-J99</f>
        <v/>
      </c>
      <c r="L100" s="47">
        <f>L99-K99</f>
        <v/>
      </c>
      <c r="M100" s="47">
        <f>M99-L99</f>
        <v/>
      </c>
      <c r="N100" s="47">
        <f>N99-M99</f>
        <v/>
      </c>
      <c r="O100" s="47">
        <f>O99-N99</f>
        <v/>
      </c>
      <c r="P100" s="47">
        <f>P99-O99</f>
        <v/>
      </c>
      <c r="Q100" s="47">
        <f>Q99-P99</f>
        <v/>
      </c>
      <c r="R100" s="47">
        <f>R99-Q99</f>
        <v/>
      </c>
    </row>
    <row r="101">
      <c r="B101" s="10" t="inlineStr">
        <is>
          <t>Share repurchases  (cash above the holding level)</t>
        </is>
      </c>
      <c r="C101" s="7" t="inlineStr">
        <is>
          <t>$mm</t>
        </is>
      </c>
      <c r="F101" s="12">
        <f>'Model'!F68</f>
        <v/>
      </c>
      <c r="G101" s="12">
        <f>'Model'!G68</f>
        <v/>
      </c>
      <c r="H101" s="12">
        <f>'Model'!H68</f>
        <v/>
      </c>
      <c r="I101" s="59">
        <f>-MAX(0,I97+I94+I100-I98)</f>
        <v/>
      </c>
      <c r="J101" s="47">
        <f>-MAX(0,J97+J94+J100-J98)</f>
        <v/>
      </c>
      <c r="K101" s="47">
        <f>-MAX(0,K97+K94+K100-K98)</f>
        <v/>
      </c>
      <c r="L101" s="47">
        <f>-MAX(0,L97+L94+L100-L98)</f>
        <v/>
      </c>
      <c r="M101" s="47">
        <f>-MAX(0,M97+M94+M100-M98)</f>
        <v/>
      </c>
      <c r="N101" s="47">
        <f>-MAX(0,N97+N94+N100-N98)</f>
        <v/>
      </c>
      <c r="O101" s="47">
        <f>-MAX(0,O97+O94+O100-O98)</f>
        <v/>
      </c>
      <c r="P101" s="47">
        <f>-MAX(0,P97+P94+P100-P98)</f>
        <v/>
      </c>
      <c r="Q101" s="47">
        <f>-MAX(0,Q97+Q94+Q100-Q98)</f>
        <v/>
      </c>
      <c r="R101" s="47">
        <f>-MAX(0,R97+R94+R100-R98)</f>
        <v/>
      </c>
    </row>
    <row r="102">
      <c r="B102" s="30" t="inlineStr">
        <is>
          <t>repurchase price</t>
        </is>
      </c>
      <c r="C102" s="7" t="inlineStr">
        <is>
          <t>$</t>
        </is>
      </c>
      <c r="I102" s="86">
        <f>'Drivers'!$D$34</f>
        <v/>
      </c>
      <c r="J102" s="87">
        <f>'Drivers'!$D$7*(1+'Drivers'!$D$35)^(J$39-$I$39)</f>
        <v/>
      </c>
      <c r="K102" s="87">
        <f>'Drivers'!$D$7*(1+'Drivers'!$D$35)^(K$39-$I$39)</f>
        <v/>
      </c>
      <c r="L102" s="87">
        <f>'Drivers'!$D$7*(1+'Drivers'!$D$35)^(L$39-$I$39)</f>
        <v/>
      </c>
      <c r="M102" s="87">
        <f>'Drivers'!$D$7*(1+'Drivers'!$D$35)^(M$39-$I$39)</f>
        <v/>
      </c>
      <c r="N102" s="87">
        <f>'Drivers'!$D$7*(1+'Drivers'!$D$35)^(N$39-$I$39)</f>
        <v/>
      </c>
      <c r="O102" s="87">
        <f>'Drivers'!$D$7*(1+'Drivers'!$D$35)^(O$39-$I$39)</f>
        <v/>
      </c>
      <c r="P102" s="87">
        <f>'Drivers'!$D$7*(1+'Drivers'!$D$35)^(P$39-$I$39)</f>
        <v/>
      </c>
      <c r="Q102" s="87">
        <f>'Drivers'!$D$7*(1+'Drivers'!$D$35)^(Q$39-$I$39)</f>
        <v/>
      </c>
      <c r="R102" s="87">
        <f>'Drivers'!$D$7*(1+'Drivers'!$D$35)^(R$39-$I$39)</f>
        <v/>
      </c>
    </row>
    <row r="103">
      <c r="B103" s="10" t="inlineStr">
        <is>
          <t>Cash, end of year</t>
        </is>
      </c>
      <c r="C103" s="7" t="inlineStr">
        <is>
          <t>$mm</t>
        </is>
      </c>
      <c r="F103" s="12">
        <f>'Model'!F70</f>
        <v/>
      </c>
      <c r="G103" s="12">
        <f>'Model'!G70</f>
        <v/>
      </c>
      <c r="H103" s="12">
        <f>'Model'!H70</f>
        <v/>
      </c>
      <c r="I103" s="59">
        <f>I97+I94+I100+I101</f>
        <v/>
      </c>
      <c r="J103" s="47">
        <f>J97+J94+J100+J101</f>
        <v/>
      </c>
      <c r="K103" s="47">
        <f>K97+K94+K100+K101</f>
        <v/>
      </c>
      <c r="L103" s="47">
        <f>L97+L94+L100+L101</f>
        <v/>
      </c>
      <c r="M103" s="47">
        <f>M97+M94+M100+M101</f>
        <v/>
      </c>
      <c r="N103" s="47">
        <f>N97+N94+N100+N101</f>
        <v/>
      </c>
      <c r="O103" s="47">
        <f>O97+O94+O100+O101</f>
        <v/>
      </c>
      <c r="P103" s="47">
        <f>P97+P94+P100+P101</f>
        <v/>
      </c>
      <c r="Q103" s="47">
        <f>Q97+Q94+Q100+Q101</f>
        <v/>
      </c>
      <c r="R103" s="47">
        <f>R97+R94+R100+R101</f>
        <v/>
      </c>
    </row>
    <row r="104">
      <c r="B104" s="6" t="inlineStr">
        <is>
          <t>Net debt, end of year</t>
        </is>
      </c>
      <c r="C104" s="7" t="inlineStr">
        <is>
          <t>$mm</t>
        </is>
      </c>
      <c r="F104" s="62">
        <f>'Model'!F71</f>
        <v/>
      </c>
      <c r="G104" s="62">
        <f>'Model'!G71</f>
        <v/>
      </c>
      <c r="H104" s="62">
        <f>'Model'!H71</f>
        <v/>
      </c>
      <c r="I104" s="61">
        <f>I99-I103</f>
        <v/>
      </c>
      <c r="J104" s="56">
        <f>J99-J103</f>
        <v/>
      </c>
      <c r="K104" s="56">
        <f>K99-K103</f>
        <v/>
      </c>
      <c r="L104" s="56">
        <f>L99-L103</f>
        <v/>
      </c>
      <c r="M104" s="56">
        <f>M99-M103</f>
        <v/>
      </c>
      <c r="N104" s="56">
        <f>N99-N103</f>
        <v/>
      </c>
      <c r="O104" s="56">
        <f>O99-O103</f>
        <v/>
      </c>
      <c r="P104" s="56">
        <f>P99-P103</f>
        <v/>
      </c>
      <c r="Q104" s="56">
        <f>Q99-Q103</f>
        <v/>
      </c>
      <c r="R104" s="56">
        <f>R99-R103</f>
        <v/>
      </c>
    </row>
    <row r="105">
      <c r="B105" s="30" t="inlineStr">
        <is>
          <t>Net debt / EBITDA</t>
        </is>
      </c>
      <c r="C105" s="7" t="inlineStr">
        <is>
          <t>x</t>
        </is>
      </c>
      <c r="F105" s="108">
        <f>'Model'!F72</f>
        <v/>
      </c>
      <c r="G105" s="108">
        <f>'Model'!G72</f>
        <v/>
      </c>
      <c r="H105" s="108">
        <f>'Model'!H72</f>
        <v/>
      </c>
      <c r="I105" s="89">
        <f>I104/(I66+I88)</f>
        <v/>
      </c>
      <c r="J105" s="88">
        <f>J104/(J66+J88)</f>
        <v/>
      </c>
      <c r="K105" s="88">
        <f>K104/(K66+K88)</f>
        <v/>
      </c>
      <c r="L105" s="88">
        <f>L104/(L66+L88)</f>
        <v/>
      </c>
      <c r="M105" s="88">
        <f>M104/(M66+M88)</f>
        <v/>
      </c>
      <c r="N105" s="88">
        <f>N104/(N66+N88)</f>
        <v/>
      </c>
      <c r="O105" s="88">
        <f>O104/(O66+O88)</f>
        <v/>
      </c>
      <c r="P105" s="88">
        <f>P104/(P66+P88)</f>
        <v/>
      </c>
      <c r="Q105" s="88">
        <f>Q104/(Q66+Q88)</f>
        <v/>
      </c>
      <c r="R105" s="88">
        <f>R104/(R66+R88)</f>
        <v/>
      </c>
    </row>
    <row r="106">
      <c r="B106" s="10" t="inlineStr">
        <is>
          <t>Diluted shares, end of year</t>
        </is>
      </c>
      <c r="C106" s="7" t="inlineStr">
        <is>
          <t>mm</t>
        </is>
      </c>
      <c r="F106" s="11">
        <f>'Model'!F73</f>
        <v/>
      </c>
      <c r="G106" s="11">
        <f>'Model'!G73</f>
        <v/>
      </c>
      <c r="H106" s="11">
        <f>'Model'!H73</f>
        <v/>
      </c>
      <c r="I106" s="35">
        <f>H106*(1+'Drivers'!$D$33)+I101/I102</f>
        <v/>
      </c>
      <c r="J106" s="11">
        <f>I106*(1+'Drivers'!$D$33)+J101/J102</f>
        <v/>
      </c>
      <c r="K106" s="11">
        <f>J106*(1+'Drivers'!$D$33)+K101/K102</f>
        <v/>
      </c>
      <c r="L106" s="11">
        <f>K106*(1+'Drivers'!$D$33)+L101/L102</f>
        <v/>
      </c>
      <c r="M106" s="11">
        <f>L106*(1+'Drivers'!$D$33)+M101/M102</f>
        <v/>
      </c>
      <c r="N106" s="11">
        <f>M106*(1+'Drivers'!$D$33)+N101/N102</f>
        <v/>
      </c>
      <c r="O106" s="11">
        <f>N106*(1+'Drivers'!$D$33)+O101/O102</f>
        <v/>
      </c>
      <c r="P106" s="11">
        <f>O106*(1+'Drivers'!$D$33)+P101/P102</f>
        <v/>
      </c>
      <c r="Q106" s="11">
        <f>P106*(1+'Drivers'!$D$33)+Q101/Q102</f>
        <v/>
      </c>
      <c r="R106" s="11">
        <f>Q106*(1+'Drivers'!$D$33)+R101/R102</f>
        <v/>
      </c>
    </row>
    <row r="107">
      <c r="B107" s="30" t="inlineStr">
        <is>
          <t>net share reduction</t>
        </is>
      </c>
      <c r="C107" s="7" t="inlineStr">
        <is>
          <t>%</t>
        </is>
      </c>
      <c r="G107" s="77">
        <f>'Model'!G74</f>
        <v/>
      </c>
      <c r="H107" s="77">
        <f>'Model'!H74</f>
        <v/>
      </c>
      <c r="I107" s="64">
        <f>1-I106/H106</f>
        <v/>
      </c>
      <c r="J107" s="60">
        <f>1-J106/I106</f>
        <v/>
      </c>
      <c r="K107" s="60">
        <f>1-K106/J106</f>
        <v/>
      </c>
      <c r="L107" s="60">
        <f>1-L106/K106</f>
        <v/>
      </c>
      <c r="M107" s="60">
        <f>1-M106/L106</f>
        <v/>
      </c>
      <c r="N107" s="60">
        <f>1-N106/M106</f>
        <v/>
      </c>
      <c r="O107" s="60">
        <f>1-O106/N106</f>
        <v/>
      </c>
      <c r="P107" s="60">
        <f>1-P106/O106</f>
        <v/>
      </c>
      <c r="Q107" s="60">
        <f>1-Q106/P106</f>
        <v/>
      </c>
      <c r="R107" s="60">
        <f>1-R106/Q106</f>
        <v/>
      </c>
    </row>
    <row r="108">
      <c r="B108" s="2" t="inlineStr">
        <is>
          <t>Content obligations, year end (memo)</t>
        </is>
      </c>
      <c r="C108" s="7" t="inlineStr">
        <is>
          <t>$mm</t>
        </is>
      </c>
      <c r="F108" s="79">
        <f>'Model'!F75</f>
        <v/>
      </c>
      <c r="G108" s="79">
        <f>'Model'!G75</f>
        <v/>
      </c>
      <c r="H108" s="79">
        <f>'Model'!H75</f>
        <v/>
      </c>
      <c r="I108" s="65" t="n"/>
    </row>
    <row r="110">
      <c r="B110" s="4" t="inlineStr">
        <is>
          <t>DISCOUNTED CASH FLOW  |  BEAR CASE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B111" s="26" t="inlineStr">
        <is>
          <t>Fiscal year (calendar)</t>
        </is>
      </c>
      <c r="C111" s="18" t="n"/>
      <c r="D111" s="18" t="n"/>
      <c r="E111" s="18" t="n"/>
      <c r="F111" s="27" t="n">
        <v>2023</v>
      </c>
      <c r="G111" s="27" t="n">
        <v>2024</v>
      </c>
      <c r="H111" s="27" t="n">
        <v>2025</v>
      </c>
      <c r="I111" s="75" t="n">
        <v>2026</v>
      </c>
      <c r="J111" s="28" t="n">
        <v>2027</v>
      </c>
      <c r="K111" s="28" t="n">
        <v>2028</v>
      </c>
      <c r="L111" s="28" t="n">
        <v>2029</v>
      </c>
      <c r="M111" s="28" t="n">
        <v>2030</v>
      </c>
      <c r="N111" s="28" t="n">
        <v>2031</v>
      </c>
      <c r="O111" s="28" t="n">
        <v>2032</v>
      </c>
      <c r="P111" s="28" t="n">
        <v>2033</v>
      </c>
      <c r="Q111" s="28" t="n">
        <v>2034</v>
      </c>
      <c r="R111" s="28" t="n">
        <v>2035</v>
      </c>
    </row>
    <row r="112">
      <c r="B112" s="10" t="inlineStr">
        <is>
          <t>Unlevered free cash flow</t>
        </is>
      </c>
      <c r="C112" s="7" t="inlineStr">
        <is>
          <t>$mm</t>
        </is>
      </c>
      <c r="I112" s="59">
        <f>I92</f>
        <v/>
      </c>
      <c r="J112" s="47">
        <f>J92</f>
        <v/>
      </c>
      <c r="K112" s="47">
        <f>K92</f>
        <v/>
      </c>
      <c r="L112" s="47">
        <f>L92</f>
        <v/>
      </c>
      <c r="M112" s="47">
        <f>M92</f>
        <v/>
      </c>
      <c r="N112" s="47">
        <f>N92</f>
        <v/>
      </c>
      <c r="O112" s="47">
        <f>O92</f>
        <v/>
      </c>
      <c r="P112" s="47">
        <f>P92</f>
        <v/>
      </c>
      <c r="Q112" s="47">
        <f>Q92</f>
        <v/>
      </c>
      <c r="R112" s="47">
        <f>R92</f>
        <v/>
      </c>
    </row>
    <row r="113">
      <c r="B113" s="2" t="inlineStr">
        <is>
          <t>Share of the year after the balance-sheet date</t>
        </is>
      </c>
      <c r="C113" s="7" t="inlineStr">
        <is>
          <t>x</t>
        </is>
      </c>
      <c r="I113" s="90">
        <f>('Drivers'!$D$10-'Drivers'!$D$9)/365</f>
        <v/>
      </c>
      <c r="J113" s="91">
        <f>1</f>
        <v/>
      </c>
      <c r="K113" s="91">
        <f>1</f>
        <v/>
      </c>
      <c r="L113" s="91">
        <f>1</f>
        <v/>
      </c>
      <c r="M113" s="91">
        <f>1</f>
        <v/>
      </c>
      <c r="N113" s="91">
        <f>1</f>
        <v/>
      </c>
      <c r="O113" s="91">
        <f>1</f>
        <v/>
      </c>
      <c r="P113" s="91">
        <f>1</f>
        <v/>
      </c>
      <c r="Q113" s="91">
        <f>1</f>
        <v/>
      </c>
      <c r="R113" s="91">
        <f>1</f>
        <v/>
      </c>
    </row>
    <row r="114">
      <c r="B114" s="10" t="inlineStr">
        <is>
          <t>Cash flow counted</t>
        </is>
      </c>
      <c r="C114" s="7" t="inlineStr">
        <is>
          <t>$mm</t>
        </is>
      </c>
      <c r="I114" s="59">
        <f>I112*I113</f>
        <v/>
      </c>
      <c r="J114" s="47">
        <f>J112*J113</f>
        <v/>
      </c>
      <c r="K114" s="47">
        <f>K112*K113</f>
        <v/>
      </c>
      <c r="L114" s="47">
        <f>L112*L113</f>
        <v/>
      </c>
      <c r="M114" s="47">
        <f>M112*M113</f>
        <v/>
      </c>
      <c r="N114" s="47">
        <f>N112*N113</f>
        <v/>
      </c>
      <c r="O114" s="47">
        <f>O112*O113</f>
        <v/>
      </c>
      <c r="P114" s="47">
        <f>P112*P113</f>
        <v/>
      </c>
      <c r="Q114" s="47">
        <f>Q112*Q113</f>
        <v/>
      </c>
      <c r="R114" s="47">
        <f>R112*R113</f>
        <v/>
      </c>
    </row>
    <row r="115">
      <c r="B115" s="2" t="inlineStr">
        <is>
          <t>Discount period, mid-period</t>
        </is>
      </c>
      <c r="C115" s="7" t="inlineStr">
        <is>
          <t>yrs</t>
        </is>
      </c>
      <c r="I115" s="90">
        <f>(('Drivers'!$D$10-'Drivers'!$D$9)/2+('Drivers'!$D$9-'Drivers'!$D$8))/365</f>
        <v/>
      </c>
      <c r="J115" s="92">
        <f>('Drivers'!$D$10-'Drivers'!$D$8)/365+0.5</f>
        <v/>
      </c>
      <c r="K115" s="91">
        <f>J115+1</f>
        <v/>
      </c>
      <c r="L115" s="91">
        <f>K115+1</f>
        <v/>
      </c>
      <c r="M115" s="91">
        <f>L115+1</f>
        <v/>
      </c>
      <c r="N115" s="91">
        <f>M115+1</f>
        <v/>
      </c>
      <c r="O115" s="91">
        <f>N115+1</f>
        <v/>
      </c>
      <c r="P115" s="91">
        <f>O115+1</f>
        <v/>
      </c>
      <c r="Q115" s="91">
        <f>P115+1</f>
        <v/>
      </c>
      <c r="R115" s="91">
        <f>Q115+1</f>
        <v/>
      </c>
    </row>
    <row r="116">
      <c r="B116" s="2" t="inlineStr">
        <is>
          <t>Discount factor</t>
        </is>
      </c>
      <c r="C116" s="7" t="inlineStr">
        <is>
          <t>x</t>
        </is>
      </c>
      <c r="I116" s="90">
        <f>1/(1+'Drivers'!$D$29)^I115</f>
        <v/>
      </c>
      <c r="J116" s="92">
        <f>1/(1+'Drivers'!$D$29)^J115</f>
        <v/>
      </c>
      <c r="K116" s="92">
        <f>1/(1+'Drivers'!$D$29)^K115</f>
        <v/>
      </c>
      <c r="L116" s="92">
        <f>1/(1+'Drivers'!$D$29)^L115</f>
        <v/>
      </c>
      <c r="M116" s="92">
        <f>1/(1+'Drivers'!$D$29)^M115</f>
        <v/>
      </c>
      <c r="N116" s="92">
        <f>1/(1+'Drivers'!$D$29)^N115</f>
        <v/>
      </c>
      <c r="O116" s="92">
        <f>1/(1+'Drivers'!$D$29)^O115</f>
        <v/>
      </c>
      <c r="P116" s="92">
        <f>1/(1+'Drivers'!$D$29)^P115</f>
        <v/>
      </c>
      <c r="Q116" s="92">
        <f>1/(1+'Drivers'!$D$29)^Q115</f>
        <v/>
      </c>
      <c r="R116" s="92">
        <f>1/(1+'Drivers'!$D$29)^R115</f>
        <v/>
      </c>
    </row>
    <row r="117">
      <c r="B117" s="10" t="inlineStr">
        <is>
          <t>Present value</t>
        </is>
      </c>
      <c r="C117" s="7" t="inlineStr">
        <is>
          <t>$mm</t>
        </is>
      </c>
      <c r="I117" s="59">
        <f>I114*I116</f>
        <v/>
      </c>
      <c r="J117" s="47">
        <f>J114*J116</f>
        <v/>
      </c>
      <c r="K117" s="47">
        <f>K114*K116</f>
        <v/>
      </c>
      <c r="L117" s="47">
        <f>L114*L116</f>
        <v/>
      </c>
      <c r="M117" s="47">
        <f>M114*M116</f>
        <v/>
      </c>
      <c r="N117" s="47">
        <f>N114*N116</f>
        <v/>
      </c>
      <c r="O117" s="47">
        <f>O114*O116</f>
        <v/>
      </c>
      <c r="P117" s="47">
        <f>P114*P116</f>
        <v/>
      </c>
      <c r="Q117" s="47">
        <f>Q114*Q116</f>
        <v/>
      </c>
      <c r="R117" s="47">
        <f>R114*R116</f>
        <v/>
      </c>
    </row>
    <row r="119">
      <c r="B119" s="10" t="inlineStr">
        <is>
          <t>PV of forecast cash flows</t>
        </is>
      </c>
      <c r="C119" s="7" t="inlineStr">
        <is>
          <t>$mm</t>
        </is>
      </c>
      <c r="D119" s="47">
        <f>SUM(I117:R117)</f>
        <v/>
      </c>
    </row>
    <row r="120">
      <c r="B120" s="10" t="inlineStr">
        <is>
          <t>Terminal growth</t>
        </is>
      </c>
      <c r="C120" s="7" t="inlineStr">
        <is>
          <t>%</t>
        </is>
      </c>
      <c r="D120" s="93">
        <f>'Drivers'!$F$44</f>
        <v/>
      </c>
    </row>
    <row r="121">
      <c r="B121" s="10" t="inlineStr">
        <is>
          <t>Terminal value at FY2035</t>
        </is>
      </c>
      <c r="C121" s="7" t="inlineStr">
        <is>
          <t>$mm</t>
        </is>
      </c>
      <c r="D121" s="47">
        <f>R112*(1+D120)/('Drivers'!$D$29-D120)</f>
        <v/>
      </c>
    </row>
    <row r="122">
      <c r="B122" s="10" t="inlineStr">
        <is>
          <t>PV of terminal value</t>
        </is>
      </c>
      <c r="C122" s="7" t="inlineStr">
        <is>
          <t>$mm</t>
        </is>
      </c>
      <c r="D122" s="47">
        <f>D121*R116</f>
        <v/>
      </c>
    </row>
    <row r="123">
      <c r="B123" s="6" t="inlineStr">
        <is>
          <t>Enterprise value</t>
        </is>
      </c>
      <c r="C123" s="7" t="inlineStr">
        <is>
          <t>$mm</t>
        </is>
      </c>
      <c r="D123" s="56">
        <f>D119+D122</f>
        <v/>
      </c>
    </row>
    <row r="124">
      <c r="B124" s="10" t="inlineStr">
        <is>
          <t>Less: net debt at 9/30/2026</t>
        </is>
      </c>
      <c r="C124" s="7" t="inlineStr">
        <is>
          <t>$mm</t>
        </is>
      </c>
      <c r="D124" s="12">
        <f>-'Drivers'!$D$16</f>
        <v/>
      </c>
    </row>
    <row r="125">
      <c r="B125" s="6" t="inlineStr">
        <is>
          <t>Equity value</t>
        </is>
      </c>
      <c r="C125" s="7" t="inlineStr">
        <is>
          <t>$mm</t>
        </is>
      </c>
      <c r="D125" s="46">
        <f>D123+D124</f>
        <v/>
      </c>
    </row>
    <row r="126">
      <c r="B126" s="10" t="inlineStr">
        <is>
          <t>Diluted shares</t>
        </is>
      </c>
      <c r="C126" s="7" t="inlineStr">
        <is>
          <t>mm</t>
        </is>
      </c>
      <c r="D126" s="11">
        <f>'Drivers'!$D$13</f>
        <v/>
      </c>
    </row>
    <row r="127">
      <c r="B127" s="6" t="inlineStr">
        <is>
          <t>DCF value per share</t>
        </is>
      </c>
      <c r="C127" s="7" t="inlineStr">
        <is>
          <t>$</t>
        </is>
      </c>
      <c r="D127" s="94">
        <f>D125/D126</f>
        <v/>
      </c>
    </row>
    <row r="128">
      <c r="B128" s="10" t="inlineStr">
        <is>
          <t>Upside / (downside) to price</t>
        </is>
      </c>
      <c r="C128" s="7" t="inlineStr">
        <is>
          <t>%</t>
        </is>
      </c>
      <c r="D128" s="36">
        <f>D127/'Drivers'!$D$7-1</f>
        <v/>
      </c>
    </row>
    <row r="129">
      <c r="B129" s="10" t="inlineStr">
        <is>
          <t>Terminal value, % of enterprise value</t>
        </is>
      </c>
      <c r="C129" s="7" t="inlineStr">
        <is>
          <t>%</t>
        </is>
      </c>
      <c r="D129" s="36">
        <f>D122/D123</f>
        <v/>
      </c>
    </row>
    <row r="130">
      <c r="B130" s="10" t="inlineStr">
        <is>
          <t>Implied terminal EV / EBITDA</t>
        </is>
      </c>
      <c r="C130" s="7" t="inlineStr">
        <is>
          <t>x</t>
        </is>
      </c>
      <c r="D130" s="55">
        <f>D121/(R66+R88)</f>
        <v/>
      </c>
    </row>
    <row r="131">
      <c r="B131" s="10" t="inlineStr">
        <is>
          <t>P/E at DCF value on FY27E EPS</t>
        </is>
      </c>
      <c r="C131" s="7" t="inlineStr">
        <is>
          <t>x</t>
        </is>
      </c>
      <c r="D131" s="55">
        <f>D127/J80</f>
        <v/>
      </c>
    </row>
    <row r="132">
      <c r="B132" s="10" t="inlineStr">
        <is>
          <t>EV / EBIT today on FY26E</t>
        </is>
      </c>
      <c r="C132" s="7" t="inlineStr">
        <is>
          <t>x</t>
        </is>
      </c>
      <c r="D132" s="55">
        <f>'Drivers'!$D$19/I66</f>
        <v/>
      </c>
    </row>
    <row r="134">
      <c r="B134" s="4" t="inlineStr">
        <is>
          <t>PRICE PATH  |  BEAR CASE</t>
        </is>
      </c>
      <c r="C134" s="5" t="n"/>
      <c r="D134" s="5" t="n"/>
      <c r="E134" s="5" t="n"/>
    </row>
    <row r="135">
      <c r="B135" s="10" t="inlineStr">
        <is>
          <t>Exit P/E (NTM)</t>
        </is>
      </c>
      <c r="C135" s="7" t="inlineStr">
        <is>
          <t>x</t>
        </is>
      </c>
      <c r="D135" s="14">
        <f>'Drivers'!$F$45</f>
        <v/>
      </c>
    </row>
    <row r="136">
      <c r="B136" s="10" t="inlineStr">
        <is>
          <t>Years to exit 1 (end of 2028)</t>
        </is>
      </c>
      <c r="C136" s="7" t="inlineStr">
        <is>
          <t>yrs</t>
        </is>
      </c>
      <c r="D136" s="95">
        <f>('Drivers'!$D$11-'Drivers'!$D$8)/365</f>
        <v/>
      </c>
    </row>
    <row r="137">
      <c r="B137" s="10" t="inlineStr">
        <is>
          <t>FY29E EPS</t>
        </is>
      </c>
      <c r="C137" s="7" t="inlineStr">
        <is>
          <t>$</t>
        </is>
      </c>
      <c r="D137" s="100">
        <f>L80</f>
        <v/>
      </c>
    </row>
    <row r="138">
      <c r="B138" s="6" t="inlineStr">
        <is>
          <t>Price at the end of 2028</t>
        </is>
      </c>
      <c r="C138" s="7" t="inlineStr">
        <is>
          <t>$</t>
        </is>
      </c>
      <c r="D138" s="94">
        <f>D135*D137</f>
        <v/>
      </c>
    </row>
    <row r="139">
      <c r="B139" s="10" t="inlineStr">
        <is>
          <t>Price at exit / price today</t>
        </is>
      </c>
      <c r="C139" s="7" t="inlineStr">
        <is>
          <t>x</t>
        </is>
      </c>
      <c r="D139" s="96">
        <f>D138/'Drivers'!$D$7</f>
        <v/>
      </c>
    </row>
    <row r="140">
      <c r="B140" s="6" t="inlineStr">
        <is>
          <t>IRR to the end of 2028</t>
        </is>
      </c>
      <c r="C140" s="7" t="inlineStr">
        <is>
          <t>%</t>
        </is>
      </c>
      <c r="D140" s="97">
        <f>D139^(1/D136)-1</f>
        <v/>
      </c>
    </row>
    <row r="141">
      <c r="B141" s="6" t="inlineStr">
        <is>
          <t>Entry price for the hurdle IRR to exit 1</t>
        </is>
      </c>
      <c r="C141" s="7" t="inlineStr">
        <is>
          <t>$</t>
        </is>
      </c>
      <c r="D141" s="94">
        <f>D138/(1+'Drivers'!$D$36)^D136</f>
        <v/>
      </c>
    </row>
    <row r="142">
      <c r="B142" s="10" t="inlineStr">
        <is>
          <t>Years to exit 2 (end of 2029)</t>
        </is>
      </c>
      <c r="C142" s="7" t="inlineStr">
        <is>
          <t>yrs</t>
        </is>
      </c>
      <c r="D142" s="95">
        <f>('Drivers'!$D$12-'Drivers'!$D$8)/365</f>
        <v/>
      </c>
    </row>
    <row r="143">
      <c r="B143" s="10" t="inlineStr">
        <is>
          <t>FY30E EPS</t>
        </is>
      </c>
      <c r="C143" s="7" t="inlineStr">
        <is>
          <t>$</t>
        </is>
      </c>
      <c r="D143" s="100">
        <f>M80</f>
        <v/>
      </c>
    </row>
    <row r="144">
      <c r="B144" s="6" t="inlineStr">
        <is>
          <t>Price at the end of 2029</t>
        </is>
      </c>
      <c r="C144" s="7" t="inlineStr">
        <is>
          <t>$</t>
        </is>
      </c>
      <c r="D144" s="94">
        <f>D135*D143</f>
        <v/>
      </c>
    </row>
    <row r="145">
      <c r="B145" s="6" t="inlineStr">
        <is>
          <t>IRR to the end of 2029</t>
        </is>
      </c>
      <c r="C145" s="7" t="inlineStr">
        <is>
          <t>%</t>
        </is>
      </c>
      <c r="D145" s="97">
        <f>(D144/'Drivers'!$D$7)^(1/D142)-1</f>
        <v/>
      </c>
    </row>
    <row r="148">
      <c r="B148" s="105" t="inlineStr">
        <is>
          <t>BASE CASE</t>
        </is>
      </c>
      <c r="C148" s="106" t="n"/>
      <c r="D148" s="106" t="n"/>
      <c r="E148" s="106" t="n"/>
      <c r="F148" s="106" t="n"/>
      <c r="G148" s="106" t="n"/>
      <c r="H148" s="106" t="n"/>
      <c r="I148" s="106" t="n"/>
      <c r="J148" s="106" t="n"/>
      <c r="K148" s="106" t="n"/>
      <c r="L148" s="106" t="n"/>
      <c r="M148" s="106" t="n"/>
      <c r="N148" s="106" t="n"/>
      <c r="O148" s="106" t="n"/>
      <c r="P148" s="106" t="n"/>
      <c r="Q148" s="106" t="n"/>
      <c r="R148" s="106" t="n"/>
    </row>
    <row r="150">
      <c r="B150" s="4" t="inlineStr">
        <is>
          <t>REVENUE  |  BASE CASE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B151" s="26" t="inlineStr">
        <is>
          <t>Fiscal year (calendar)</t>
        </is>
      </c>
      <c r="C151" s="18" t="n"/>
      <c r="D151" s="18" t="n"/>
      <c r="E151" s="18" t="n"/>
      <c r="F151" s="27" t="n">
        <v>2023</v>
      </c>
      <c r="G151" s="27" t="n">
        <v>2024</v>
      </c>
      <c r="H151" s="27" t="n">
        <v>2025</v>
      </c>
      <c r="I151" s="75" t="n">
        <v>2026</v>
      </c>
      <c r="J151" s="28" t="n">
        <v>2027</v>
      </c>
      <c r="K151" s="28" t="n">
        <v>2028</v>
      </c>
      <c r="L151" s="28" t="n">
        <v>2029</v>
      </c>
      <c r="M151" s="28" t="n">
        <v>2030</v>
      </c>
      <c r="N151" s="28" t="n">
        <v>2031</v>
      </c>
      <c r="O151" s="28" t="n">
        <v>2032</v>
      </c>
      <c r="P151" s="28" t="n">
        <v>2033</v>
      </c>
      <c r="Q151" s="28" t="n">
        <v>2034</v>
      </c>
      <c r="R151" s="28" t="n">
        <v>2035</v>
      </c>
    </row>
    <row r="152">
      <c r="B152" s="10" t="inlineStr">
        <is>
          <t>United States and Canada</t>
        </is>
      </c>
      <c r="C152" s="7" t="inlineStr">
        <is>
          <t>$mm</t>
        </is>
      </c>
      <c r="F152" s="12">
        <f>'Model'!F7</f>
        <v/>
      </c>
      <c r="G152" s="12">
        <f>'Model'!G7</f>
        <v/>
      </c>
      <c r="H152" s="12">
        <f>'Model'!H7</f>
        <v/>
      </c>
      <c r="I152" s="59">
        <f>H152*(1+I153)</f>
        <v/>
      </c>
      <c r="J152" s="47">
        <f>I152*(1+J153)</f>
        <v/>
      </c>
      <c r="K152" s="47">
        <f>J152*(1+K153)</f>
        <v/>
      </c>
      <c r="L152" s="47">
        <f>K152*(1+L153)</f>
        <v/>
      </c>
      <c r="M152" s="47">
        <f>L152*(1+M153)</f>
        <v/>
      </c>
      <c r="N152" s="47">
        <f>M152*(1+N153)</f>
        <v/>
      </c>
      <c r="O152" s="47">
        <f>N152*(1+O153)</f>
        <v/>
      </c>
      <c r="P152" s="47">
        <f>O152*(1+P153)</f>
        <v/>
      </c>
      <c r="Q152" s="47">
        <f>P152*(1+Q153)</f>
        <v/>
      </c>
      <c r="R152" s="47">
        <f>Q152*(1+R153)</f>
        <v/>
      </c>
    </row>
    <row r="153">
      <c r="B153" s="30" t="inlineStr">
        <is>
          <t>y/y</t>
        </is>
      </c>
      <c r="C153" s="7" t="inlineStr">
        <is>
          <t>%</t>
        </is>
      </c>
      <c r="G153" s="77">
        <f>'Model'!G8</f>
        <v/>
      </c>
      <c r="H153" s="77">
        <f>'Model'!H8</f>
        <v/>
      </c>
      <c r="I153" s="76">
        <f>'Drivers'!I$70</f>
        <v/>
      </c>
      <c r="J153" s="77">
        <f>'Drivers'!J$70</f>
        <v/>
      </c>
      <c r="K153" s="77">
        <f>'Drivers'!K$70</f>
        <v/>
      </c>
      <c r="L153" s="77">
        <f>'Drivers'!L$70</f>
        <v/>
      </c>
      <c r="M153" s="77">
        <f>'Drivers'!M$70</f>
        <v/>
      </c>
      <c r="N153" s="77">
        <f>'Drivers'!N$70</f>
        <v/>
      </c>
      <c r="O153" s="77">
        <f>'Drivers'!O$70</f>
        <v/>
      </c>
      <c r="P153" s="77">
        <f>'Drivers'!P$70</f>
        <v/>
      </c>
      <c r="Q153" s="77">
        <f>'Drivers'!Q$70</f>
        <v/>
      </c>
      <c r="R153" s="77">
        <f>'Drivers'!R$70</f>
        <v/>
      </c>
    </row>
    <row r="154">
      <c r="B154" s="10" t="inlineStr">
        <is>
          <t>Europe, Middle East and Africa</t>
        </is>
      </c>
      <c r="C154" s="7" t="inlineStr">
        <is>
          <t>$mm</t>
        </is>
      </c>
      <c r="F154" s="12">
        <f>'Model'!F9</f>
        <v/>
      </c>
      <c r="G154" s="12">
        <f>'Model'!G9</f>
        <v/>
      </c>
      <c r="H154" s="12">
        <f>'Model'!H9</f>
        <v/>
      </c>
      <c r="I154" s="59">
        <f>H154*(1+I155)</f>
        <v/>
      </c>
      <c r="J154" s="47">
        <f>I154*(1+J155)</f>
        <v/>
      </c>
      <c r="K154" s="47">
        <f>J154*(1+K155)</f>
        <v/>
      </c>
      <c r="L154" s="47">
        <f>K154*(1+L155)</f>
        <v/>
      </c>
      <c r="M154" s="47">
        <f>L154*(1+M155)</f>
        <v/>
      </c>
      <c r="N154" s="47">
        <f>M154*(1+N155)</f>
        <v/>
      </c>
      <c r="O154" s="47">
        <f>N154*(1+O155)</f>
        <v/>
      </c>
      <c r="P154" s="47">
        <f>O154*(1+P155)</f>
        <v/>
      </c>
      <c r="Q154" s="47">
        <f>P154*(1+Q155)</f>
        <v/>
      </c>
      <c r="R154" s="47">
        <f>Q154*(1+R155)</f>
        <v/>
      </c>
    </row>
    <row r="155">
      <c r="B155" s="30" t="inlineStr">
        <is>
          <t>y/y</t>
        </is>
      </c>
      <c r="C155" s="7" t="inlineStr">
        <is>
          <t>%</t>
        </is>
      </c>
      <c r="G155" s="77">
        <f>'Model'!G10</f>
        <v/>
      </c>
      <c r="H155" s="77">
        <f>'Model'!H10</f>
        <v/>
      </c>
      <c r="I155" s="76">
        <f>'Drivers'!I$73</f>
        <v/>
      </c>
      <c r="J155" s="77">
        <f>'Drivers'!J$73</f>
        <v/>
      </c>
      <c r="K155" s="77">
        <f>'Drivers'!K$73</f>
        <v/>
      </c>
      <c r="L155" s="77">
        <f>'Drivers'!L$73</f>
        <v/>
      </c>
      <c r="M155" s="77">
        <f>'Drivers'!M$73</f>
        <v/>
      </c>
      <c r="N155" s="77">
        <f>'Drivers'!N$73</f>
        <v/>
      </c>
      <c r="O155" s="77">
        <f>'Drivers'!O$73</f>
        <v/>
      </c>
      <c r="P155" s="77">
        <f>'Drivers'!P$73</f>
        <v/>
      </c>
      <c r="Q155" s="77">
        <f>'Drivers'!Q$73</f>
        <v/>
      </c>
      <c r="R155" s="77">
        <f>'Drivers'!R$73</f>
        <v/>
      </c>
    </row>
    <row r="156">
      <c r="B156" s="10" t="inlineStr">
        <is>
          <t>Latin America</t>
        </is>
      </c>
      <c r="C156" s="7" t="inlineStr">
        <is>
          <t>$mm</t>
        </is>
      </c>
      <c r="F156" s="12">
        <f>'Model'!F11</f>
        <v/>
      </c>
      <c r="G156" s="12">
        <f>'Model'!G11</f>
        <v/>
      </c>
      <c r="H156" s="12">
        <f>'Model'!H11</f>
        <v/>
      </c>
      <c r="I156" s="59">
        <f>H156*(1+I157)</f>
        <v/>
      </c>
      <c r="J156" s="47">
        <f>I156*(1+J157)</f>
        <v/>
      </c>
      <c r="K156" s="47">
        <f>J156*(1+K157)</f>
        <v/>
      </c>
      <c r="L156" s="47">
        <f>K156*(1+L157)</f>
        <v/>
      </c>
      <c r="M156" s="47">
        <f>L156*(1+M157)</f>
        <v/>
      </c>
      <c r="N156" s="47">
        <f>M156*(1+N157)</f>
        <v/>
      </c>
      <c r="O156" s="47">
        <f>N156*(1+O157)</f>
        <v/>
      </c>
      <c r="P156" s="47">
        <f>O156*(1+P157)</f>
        <v/>
      </c>
      <c r="Q156" s="47">
        <f>P156*(1+Q157)</f>
        <v/>
      </c>
      <c r="R156" s="47">
        <f>Q156*(1+R157)</f>
        <v/>
      </c>
    </row>
    <row r="157">
      <c r="B157" s="30" t="inlineStr">
        <is>
          <t>y/y</t>
        </is>
      </c>
      <c r="C157" s="7" t="inlineStr">
        <is>
          <t>%</t>
        </is>
      </c>
      <c r="G157" s="77">
        <f>'Model'!G12</f>
        <v/>
      </c>
      <c r="H157" s="77">
        <f>'Model'!H12</f>
        <v/>
      </c>
      <c r="I157" s="76">
        <f>'Drivers'!I$76</f>
        <v/>
      </c>
      <c r="J157" s="77">
        <f>'Drivers'!J$76</f>
        <v/>
      </c>
      <c r="K157" s="77">
        <f>'Drivers'!K$76</f>
        <v/>
      </c>
      <c r="L157" s="77">
        <f>'Drivers'!L$76</f>
        <v/>
      </c>
      <c r="M157" s="77">
        <f>'Drivers'!M$76</f>
        <v/>
      </c>
      <c r="N157" s="77">
        <f>'Drivers'!N$76</f>
        <v/>
      </c>
      <c r="O157" s="77">
        <f>'Drivers'!O$76</f>
        <v/>
      </c>
      <c r="P157" s="77">
        <f>'Drivers'!P$76</f>
        <v/>
      </c>
      <c r="Q157" s="77">
        <f>'Drivers'!Q$76</f>
        <v/>
      </c>
      <c r="R157" s="77">
        <f>'Drivers'!R$76</f>
        <v/>
      </c>
    </row>
    <row r="158">
      <c r="B158" s="10" t="inlineStr">
        <is>
          <t>Asia-Pacific</t>
        </is>
      </c>
      <c r="C158" s="7" t="inlineStr">
        <is>
          <t>$mm</t>
        </is>
      </c>
      <c r="F158" s="12">
        <f>'Model'!F13</f>
        <v/>
      </c>
      <c r="G158" s="12">
        <f>'Model'!G13</f>
        <v/>
      </c>
      <c r="H158" s="12">
        <f>'Model'!H13</f>
        <v/>
      </c>
      <c r="I158" s="59">
        <f>H158*(1+I159)</f>
        <v/>
      </c>
      <c r="J158" s="47">
        <f>I158*(1+J159)</f>
        <v/>
      </c>
      <c r="K158" s="47">
        <f>J158*(1+K159)</f>
        <v/>
      </c>
      <c r="L158" s="47">
        <f>K158*(1+L159)</f>
        <v/>
      </c>
      <c r="M158" s="47">
        <f>L158*(1+M159)</f>
        <v/>
      </c>
      <c r="N158" s="47">
        <f>M158*(1+N159)</f>
        <v/>
      </c>
      <c r="O158" s="47">
        <f>N158*(1+O159)</f>
        <v/>
      </c>
      <c r="P158" s="47">
        <f>O158*(1+P159)</f>
        <v/>
      </c>
      <c r="Q158" s="47">
        <f>P158*(1+Q159)</f>
        <v/>
      </c>
      <c r="R158" s="47">
        <f>Q158*(1+R159)</f>
        <v/>
      </c>
    </row>
    <row r="159">
      <c r="B159" s="30" t="inlineStr">
        <is>
          <t>y/y</t>
        </is>
      </c>
      <c r="C159" s="7" t="inlineStr">
        <is>
          <t>%</t>
        </is>
      </c>
      <c r="G159" s="77">
        <f>'Model'!G14</f>
        <v/>
      </c>
      <c r="H159" s="77">
        <f>'Model'!H14</f>
        <v/>
      </c>
      <c r="I159" s="76">
        <f>'Drivers'!I$79</f>
        <v/>
      </c>
      <c r="J159" s="77">
        <f>'Drivers'!J$79</f>
        <v/>
      </c>
      <c r="K159" s="77">
        <f>'Drivers'!K$79</f>
        <v/>
      </c>
      <c r="L159" s="77">
        <f>'Drivers'!L$79</f>
        <v/>
      </c>
      <c r="M159" s="77">
        <f>'Drivers'!M$79</f>
        <v/>
      </c>
      <c r="N159" s="77">
        <f>'Drivers'!N$79</f>
        <v/>
      </c>
      <c r="O159" s="77">
        <f>'Drivers'!O$79</f>
        <v/>
      </c>
      <c r="P159" s="77">
        <f>'Drivers'!P$79</f>
        <v/>
      </c>
      <c r="Q159" s="77">
        <f>'Drivers'!Q$79</f>
        <v/>
      </c>
      <c r="R159" s="77">
        <f>'Drivers'!R$79</f>
        <v/>
      </c>
    </row>
    <row r="160">
      <c r="B160" s="10" t="inlineStr">
        <is>
          <t>DVD (wound down 2023)</t>
        </is>
      </c>
      <c r="C160" s="7" t="inlineStr">
        <is>
          <t>$mm</t>
        </is>
      </c>
      <c r="F160" s="12">
        <f>'Model'!F15</f>
        <v/>
      </c>
      <c r="G160" s="12">
        <f>'Model'!G15</f>
        <v/>
      </c>
      <c r="H160" s="12">
        <f>'Model'!H15</f>
        <v/>
      </c>
      <c r="I160" s="59">
        <f>0</f>
        <v/>
      </c>
      <c r="J160" s="47">
        <f>0</f>
        <v/>
      </c>
      <c r="K160" s="47">
        <f>0</f>
        <v/>
      </c>
      <c r="L160" s="47">
        <f>0</f>
        <v/>
      </c>
      <c r="M160" s="47">
        <f>0</f>
        <v/>
      </c>
      <c r="N160" s="47">
        <f>0</f>
        <v/>
      </c>
      <c r="O160" s="47">
        <f>0</f>
        <v/>
      </c>
      <c r="P160" s="47">
        <f>0</f>
        <v/>
      </c>
      <c r="Q160" s="47">
        <f>0</f>
        <v/>
      </c>
      <c r="R160" s="47">
        <f>0</f>
        <v/>
      </c>
    </row>
    <row r="161">
      <c r="B161" s="6" t="inlineStr">
        <is>
          <t>Total revenue</t>
        </is>
      </c>
      <c r="C161" s="7" t="inlineStr">
        <is>
          <t>$mm</t>
        </is>
      </c>
      <c r="F161" s="62">
        <f>'Model'!F16</f>
        <v/>
      </c>
      <c r="G161" s="62">
        <f>'Model'!G16</f>
        <v/>
      </c>
      <c r="H161" s="62">
        <f>'Model'!H16</f>
        <v/>
      </c>
      <c r="I161" s="61">
        <f>I152+I154+I156+I158+I160</f>
        <v/>
      </c>
      <c r="J161" s="56">
        <f>J152+J154+J156+J158+J160</f>
        <v/>
      </c>
      <c r="K161" s="56">
        <f>K152+K154+K156+K158+K160</f>
        <v/>
      </c>
      <c r="L161" s="56">
        <f>L152+L154+L156+L158+L160</f>
        <v/>
      </c>
      <c r="M161" s="56">
        <f>M152+M154+M156+M158+M160</f>
        <v/>
      </c>
      <c r="N161" s="56">
        <f>N152+N154+N156+N158+N160</f>
        <v/>
      </c>
      <c r="O161" s="56">
        <f>O152+O154+O156+O158+O160</f>
        <v/>
      </c>
      <c r="P161" s="56">
        <f>P152+P154+P156+P158+P160</f>
        <v/>
      </c>
      <c r="Q161" s="56">
        <f>Q152+Q154+Q156+Q158+Q160</f>
        <v/>
      </c>
      <c r="R161" s="56">
        <f>R152+R154+R156+R158+R160</f>
        <v/>
      </c>
    </row>
    <row r="162">
      <c r="B162" s="30" t="inlineStr">
        <is>
          <t>y/y</t>
        </is>
      </c>
      <c r="C162" s="7" t="inlineStr">
        <is>
          <t>%</t>
        </is>
      </c>
      <c r="G162" s="77">
        <f>'Model'!G17</f>
        <v/>
      </c>
      <c r="H162" s="77">
        <f>'Model'!H17</f>
        <v/>
      </c>
      <c r="I162" s="64">
        <f>I161/H161-1</f>
        <v/>
      </c>
      <c r="J162" s="60">
        <f>J161/I161-1</f>
        <v/>
      </c>
      <c r="K162" s="60">
        <f>K161/J161-1</f>
        <v/>
      </c>
      <c r="L162" s="60">
        <f>L161/K161-1</f>
        <v/>
      </c>
      <c r="M162" s="60">
        <f>M161/L161-1</f>
        <v/>
      </c>
      <c r="N162" s="60">
        <f>N161/M161-1</f>
        <v/>
      </c>
      <c r="O162" s="60">
        <f>O161/N161-1</f>
        <v/>
      </c>
      <c r="P162" s="60">
        <f>P161/O161-1</f>
        <v/>
      </c>
      <c r="Q162" s="60">
        <f>Q161/P161-1</f>
        <v/>
      </c>
      <c r="R162" s="60">
        <f>R161/Q161-1</f>
        <v/>
      </c>
    </row>
    <row r="163">
      <c r="B163" s="30" t="inlineStr">
        <is>
          <t>of which advertising (memo)</t>
        </is>
      </c>
      <c r="C163" s="7" t="inlineStr">
        <is>
          <t>$mm</t>
        </is>
      </c>
      <c r="G163" s="79">
        <f>'Model'!G18</f>
        <v/>
      </c>
      <c r="H163" s="79">
        <f>'Model'!H18</f>
        <v/>
      </c>
      <c r="I163" s="78">
        <f>'Drivers'!I$82</f>
        <v/>
      </c>
      <c r="J163" s="79">
        <f>'Drivers'!J$82</f>
        <v/>
      </c>
      <c r="K163" s="79">
        <f>'Drivers'!K$82</f>
        <v/>
      </c>
      <c r="L163" s="79">
        <f>'Drivers'!L$82</f>
        <v/>
      </c>
      <c r="M163" s="79">
        <f>'Drivers'!M$82</f>
        <v/>
      </c>
      <c r="N163" s="79">
        <f>'Drivers'!N$82</f>
        <v/>
      </c>
      <c r="O163" s="79">
        <f>'Drivers'!O$82</f>
        <v/>
      </c>
      <c r="P163" s="79">
        <f>'Drivers'!P$82</f>
        <v/>
      </c>
      <c r="Q163" s="79">
        <f>'Drivers'!Q$82</f>
        <v/>
      </c>
      <c r="R163" s="79">
        <f>'Drivers'!R$82</f>
        <v/>
      </c>
    </row>
    <row r="164">
      <c r="B164" s="30" t="inlineStr">
        <is>
          <t>advertising, % of revenue</t>
        </is>
      </c>
      <c r="C164" s="7" t="inlineStr">
        <is>
          <t>%</t>
        </is>
      </c>
      <c r="G164" s="77">
        <f>'Model'!G19</f>
        <v/>
      </c>
      <c r="H164" s="77">
        <f>'Model'!H19</f>
        <v/>
      </c>
      <c r="I164" s="64">
        <f>I163/I161</f>
        <v/>
      </c>
      <c r="J164" s="60">
        <f>J163/J161</f>
        <v/>
      </c>
      <c r="K164" s="60">
        <f>K163/K161</f>
        <v/>
      </c>
      <c r="L164" s="60">
        <f>L163/L161</f>
        <v/>
      </c>
      <c r="M164" s="60">
        <f>M163/M161</f>
        <v/>
      </c>
      <c r="N164" s="60">
        <f>N163/N161</f>
        <v/>
      </c>
      <c r="O164" s="60">
        <f>O163/O161</f>
        <v/>
      </c>
      <c r="P164" s="60">
        <f>P163/P161</f>
        <v/>
      </c>
      <c r="Q164" s="60">
        <f>Q163/Q161</f>
        <v/>
      </c>
      <c r="R164" s="60">
        <f>R163/R161</f>
        <v/>
      </c>
    </row>
    <row r="165">
      <c r="B165" s="30" t="inlineStr">
        <is>
          <t>subscription and other (memo)</t>
        </is>
      </c>
      <c r="C165" s="7" t="inlineStr">
        <is>
          <t>$mm</t>
        </is>
      </c>
      <c r="G165" s="79">
        <f>'Model'!G20</f>
        <v/>
      </c>
      <c r="H165" s="79">
        <f>'Model'!H20</f>
        <v/>
      </c>
      <c r="I165" s="80">
        <f>I161-I163</f>
        <v/>
      </c>
      <c r="J165" s="67">
        <f>J161-J163</f>
        <v/>
      </c>
      <c r="K165" s="67">
        <f>K161-K163</f>
        <v/>
      </c>
      <c r="L165" s="67">
        <f>L161-L163</f>
        <v/>
      </c>
      <c r="M165" s="67">
        <f>M161-M163</f>
        <v/>
      </c>
      <c r="N165" s="67">
        <f>N161-N163</f>
        <v/>
      </c>
      <c r="O165" s="67">
        <f>O161-O163</f>
        <v/>
      </c>
      <c r="P165" s="67">
        <f>P161-P163</f>
        <v/>
      </c>
      <c r="Q165" s="67">
        <f>Q161-Q163</f>
        <v/>
      </c>
      <c r="R165" s="67">
        <f>R161-R163</f>
        <v/>
      </c>
    </row>
    <row r="166">
      <c r="B166" s="30" t="inlineStr">
        <is>
          <t>y/y</t>
        </is>
      </c>
      <c r="C166" s="7" t="inlineStr">
        <is>
          <t>%</t>
        </is>
      </c>
      <c r="H166" s="77">
        <f>'Model'!H21</f>
        <v/>
      </c>
      <c r="I166" s="64">
        <f>I165/H165-1</f>
        <v/>
      </c>
      <c r="J166" s="60">
        <f>J165/I165-1</f>
        <v/>
      </c>
      <c r="K166" s="60">
        <f>K165/J165-1</f>
        <v/>
      </c>
      <c r="L166" s="60">
        <f>L165/K165-1</f>
        <v/>
      </c>
      <c r="M166" s="60">
        <f>M165/L165-1</f>
        <v/>
      </c>
      <c r="N166" s="60">
        <f>N165/M165-1</f>
        <v/>
      </c>
      <c r="O166" s="60">
        <f>O165/N165-1</f>
        <v/>
      </c>
      <c r="P166" s="60">
        <f>P165/O165-1</f>
        <v/>
      </c>
      <c r="Q166" s="60">
        <f>Q165/P165-1</f>
        <v/>
      </c>
      <c r="R166" s="60">
        <f>R165/Q165-1</f>
        <v/>
      </c>
    </row>
    <row r="167">
      <c r="I167" s="65" t="n"/>
    </row>
    <row r="168">
      <c r="B168" s="4" t="inlineStr">
        <is>
          <t>INCOME STATEMENT</t>
        </is>
      </c>
      <c r="C168" s="5" t="n"/>
      <c r="D168" s="5" t="n"/>
      <c r="E168" s="5" t="n"/>
      <c r="F168" s="5" t="n"/>
      <c r="G168" s="5" t="n"/>
      <c r="H168" s="5" t="n"/>
      <c r="I168" s="66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B169" s="10" t="inlineStr">
        <is>
          <t>Content amortization</t>
        </is>
      </c>
      <c r="C169" s="7" t="inlineStr">
        <is>
          <t>$mm</t>
        </is>
      </c>
      <c r="F169" s="12">
        <f>'Model'!F24</f>
        <v/>
      </c>
      <c r="G169" s="12">
        <f>'Model'!G24</f>
        <v/>
      </c>
      <c r="H169" s="12">
        <f>'Model'!H24</f>
        <v/>
      </c>
      <c r="I169" s="59">
        <f>H169*(1+I170)</f>
        <v/>
      </c>
      <c r="J169" s="47">
        <f>I169*(1+J170)</f>
        <v/>
      </c>
      <c r="K169" s="47">
        <f>J169*(1+K170)</f>
        <v/>
      </c>
      <c r="L169" s="47">
        <f>K169*(1+L170)</f>
        <v/>
      </c>
      <c r="M169" s="47">
        <f>L169*(1+M170)</f>
        <v/>
      </c>
      <c r="N169" s="47">
        <f>M169*(1+N170)</f>
        <v/>
      </c>
      <c r="O169" s="47">
        <f>N169*(1+O170)</f>
        <v/>
      </c>
      <c r="P169" s="47">
        <f>O169*(1+P170)</f>
        <v/>
      </c>
      <c r="Q169" s="47">
        <f>P169*(1+Q170)</f>
        <v/>
      </c>
      <c r="R169" s="47">
        <f>Q169*(1+R170)</f>
        <v/>
      </c>
    </row>
    <row r="170">
      <c r="B170" s="30" t="inlineStr">
        <is>
          <t>y/y</t>
        </is>
      </c>
      <c r="C170" s="7" t="inlineStr">
        <is>
          <t>%</t>
        </is>
      </c>
      <c r="G170" s="77">
        <f>'Model'!G25</f>
        <v/>
      </c>
      <c r="H170" s="77">
        <f>'Model'!H25</f>
        <v/>
      </c>
      <c r="I170" s="76">
        <f>'Drivers'!I$85</f>
        <v/>
      </c>
      <c r="J170" s="77">
        <f>'Drivers'!J$85</f>
        <v/>
      </c>
      <c r="K170" s="77">
        <f>'Drivers'!K$85</f>
        <v/>
      </c>
      <c r="L170" s="77">
        <f>'Drivers'!L$85</f>
        <v/>
      </c>
      <c r="M170" s="77">
        <f>'Drivers'!M$85</f>
        <v/>
      </c>
      <c r="N170" s="77">
        <f>'Drivers'!N$85</f>
        <v/>
      </c>
      <c r="O170" s="77">
        <f>'Drivers'!O$85</f>
        <v/>
      </c>
      <c r="P170" s="77">
        <f>'Drivers'!P$85</f>
        <v/>
      </c>
      <c r="Q170" s="77">
        <f>'Drivers'!Q$85</f>
        <v/>
      </c>
      <c r="R170" s="77">
        <f>'Drivers'!R$85</f>
        <v/>
      </c>
    </row>
    <row r="171">
      <c r="B171" s="30" t="inlineStr">
        <is>
          <t>% of revenue</t>
        </is>
      </c>
      <c r="C171" s="7" t="inlineStr">
        <is>
          <t>%</t>
        </is>
      </c>
      <c r="F171" s="77">
        <f>'Model'!F26</f>
        <v/>
      </c>
      <c r="G171" s="77">
        <f>'Model'!G26</f>
        <v/>
      </c>
      <c r="H171" s="77">
        <f>'Model'!H26</f>
        <v/>
      </c>
      <c r="I171" s="64">
        <f>I169/I161</f>
        <v/>
      </c>
      <c r="J171" s="60">
        <f>J169/J161</f>
        <v/>
      </c>
      <c r="K171" s="60">
        <f>K169/K161</f>
        <v/>
      </c>
      <c r="L171" s="60">
        <f>L169/L161</f>
        <v/>
      </c>
      <c r="M171" s="60">
        <f>M169/M161</f>
        <v/>
      </c>
      <c r="N171" s="60">
        <f>N169/N161</f>
        <v/>
      </c>
      <c r="O171" s="60">
        <f>O169/O161</f>
        <v/>
      </c>
      <c r="P171" s="60">
        <f>P169/P161</f>
        <v/>
      </c>
      <c r="Q171" s="60">
        <f>Q169/Q161</f>
        <v/>
      </c>
      <c r="R171" s="60">
        <f>R169/R161</f>
        <v/>
      </c>
    </row>
    <row r="172">
      <c r="B172" s="10" t="inlineStr">
        <is>
          <t>Other cost of revenues</t>
        </is>
      </c>
      <c r="C172" s="7" t="inlineStr">
        <is>
          <t>$mm</t>
        </is>
      </c>
      <c r="F172" s="12">
        <f>'Model'!F27</f>
        <v/>
      </c>
      <c r="G172" s="12">
        <f>'Model'!G27</f>
        <v/>
      </c>
      <c r="H172" s="12">
        <f>'Model'!H27</f>
        <v/>
      </c>
      <c r="I172" s="59">
        <f>I161*I173</f>
        <v/>
      </c>
      <c r="J172" s="47">
        <f>J161*J173</f>
        <v/>
      </c>
      <c r="K172" s="47">
        <f>K161*K173</f>
        <v/>
      </c>
      <c r="L172" s="47">
        <f>L161*L173</f>
        <v/>
      </c>
      <c r="M172" s="47">
        <f>M161*M173</f>
        <v/>
      </c>
      <c r="N172" s="47">
        <f>N161*N173</f>
        <v/>
      </c>
      <c r="O172" s="47">
        <f>O161*O173</f>
        <v/>
      </c>
      <c r="P172" s="47">
        <f>P161*P173</f>
        <v/>
      </c>
      <c r="Q172" s="47">
        <f>Q161*Q173</f>
        <v/>
      </c>
      <c r="R172" s="47">
        <f>R161*R173</f>
        <v/>
      </c>
    </row>
    <row r="173">
      <c r="B173" s="30" t="inlineStr">
        <is>
          <t>% of revenue</t>
        </is>
      </c>
      <c r="C173" s="7" t="inlineStr">
        <is>
          <t>%</t>
        </is>
      </c>
      <c r="F173" s="77">
        <f>'Model'!F28</f>
        <v/>
      </c>
      <c r="G173" s="77">
        <f>'Model'!G28</f>
        <v/>
      </c>
      <c r="H173" s="77">
        <f>'Model'!H28</f>
        <v/>
      </c>
      <c r="I173" s="76">
        <f>'Drivers'!I$88</f>
        <v/>
      </c>
      <c r="J173" s="77">
        <f>'Drivers'!J$88</f>
        <v/>
      </c>
      <c r="K173" s="77">
        <f>'Drivers'!K$88</f>
        <v/>
      </c>
      <c r="L173" s="77">
        <f>'Drivers'!L$88</f>
        <v/>
      </c>
      <c r="M173" s="77">
        <f>'Drivers'!M$88</f>
        <v/>
      </c>
      <c r="N173" s="77">
        <f>'Drivers'!N$88</f>
        <v/>
      </c>
      <c r="O173" s="77">
        <f>'Drivers'!O$88</f>
        <v/>
      </c>
      <c r="P173" s="77">
        <f>'Drivers'!P$88</f>
        <v/>
      </c>
      <c r="Q173" s="77">
        <f>'Drivers'!Q$88</f>
        <v/>
      </c>
      <c r="R173" s="77">
        <f>'Drivers'!R$88</f>
        <v/>
      </c>
    </row>
    <row r="174">
      <c r="B174" s="6" t="inlineStr">
        <is>
          <t>Gross profit</t>
        </is>
      </c>
      <c r="C174" s="7" t="inlineStr">
        <is>
          <t>$mm</t>
        </is>
      </c>
      <c r="F174" s="62">
        <f>'Model'!F29</f>
        <v/>
      </c>
      <c r="G174" s="62">
        <f>'Model'!G29</f>
        <v/>
      </c>
      <c r="H174" s="62">
        <f>'Model'!H29</f>
        <v/>
      </c>
      <c r="I174" s="61">
        <f>I161-I169-I172</f>
        <v/>
      </c>
      <c r="J174" s="56">
        <f>J161-J169-J172</f>
        <v/>
      </c>
      <c r="K174" s="56">
        <f>K161-K169-K172</f>
        <v/>
      </c>
      <c r="L174" s="56">
        <f>L161-L169-L172</f>
        <v/>
      </c>
      <c r="M174" s="56">
        <f>M161-M169-M172</f>
        <v/>
      </c>
      <c r="N174" s="56">
        <f>N161-N169-N172</f>
        <v/>
      </c>
      <c r="O174" s="56">
        <f>O161-O169-O172</f>
        <v/>
      </c>
      <c r="P174" s="56">
        <f>P161-P169-P172</f>
        <v/>
      </c>
      <c r="Q174" s="56">
        <f>Q161-Q169-Q172</f>
        <v/>
      </c>
      <c r="R174" s="56">
        <f>R161-R169-R172</f>
        <v/>
      </c>
    </row>
    <row r="175">
      <c r="B175" s="30" t="inlineStr">
        <is>
          <t>gross margin</t>
        </is>
      </c>
      <c r="C175" s="7" t="inlineStr">
        <is>
          <t>%</t>
        </is>
      </c>
      <c r="F175" s="77">
        <f>'Model'!F30</f>
        <v/>
      </c>
      <c r="G175" s="77">
        <f>'Model'!G30</f>
        <v/>
      </c>
      <c r="H175" s="77">
        <f>'Model'!H30</f>
        <v/>
      </c>
      <c r="I175" s="64">
        <f>I174/I161</f>
        <v/>
      </c>
      <c r="J175" s="60">
        <f>J174/J161</f>
        <v/>
      </c>
      <c r="K175" s="60">
        <f>K174/K161</f>
        <v/>
      </c>
      <c r="L175" s="60">
        <f>L174/L161</f>
        <v/>
      </c>
      <c r="M175" s="60">
        <f>M174/M161</f>
        <v/>
      </c>
      <c r="N175" s="60">
        <f>N174/N161</f>
        <v/>
      </c>
      <c r="O175" s="60">
        <f>O174/O161</f>
        <v/>
      </c>
      <c r="P175" s="60">
        <f>P174/P161</f>
        <v/>
      </c>
      <c r="Q175" s="60">
        <f>Q174/Q161</f>
        <v/>
      </c>
      <c r="R175" s="60">
        <f>R174/R161</f>
        <v/>
      </c>
    </row>
    <row r="176">
      <c r="B176" s="10" t="inlineStr">
        <is>
          <t>Operating expenses (sales and marketing, technology, G&amp;A)</t>
        </is>
      </c>
      <c r="C176" s="7" t="inlineStr">
        <is>
          <t>$mm</t>
        </is>
      </c>
      <c r="F176" s="12">
        <f>'Model'!F31</f>
        <v/>
      </c>
      <c r="G176" s="12">
        <f>'Model'!G31</f>
        <v/>
      </c>
      <c r="H176" s="12">
        <f>'Model'!H31</f>
        <v/>
      </c>
      <c r="I176" s="59">
        <f>I161*I177</f>
        <v/>
      </c>
      <c r="J176" s="47">
        <f>J161*J177</f>
        <v/>
      </c>
      <c r="K176" s="47">
        <f>K161*K177</f>
        <v/>
      </c>
      <c r="L176" s="47">
        <f>L161*L177</f>
        <v/>
      </c>
      <c r="M176" s="47">
        <f>M161*M177</f>
        <v/>
      </c>
      <c r="N176" s="47">
        <f>N161*N177</f>
        <v/>
      </c>
      <c r="O176" s="47">
        <f>O161*O177</f>
        <v/>
      </c>
      <c r="P176" s="47">
        <f>P161*P177</f>
        <v/>
      </c>
      <c r="Q176" s="47">
        <f>Q161*Q177</f>
        <v/>
      </c>
      <c r="R176" s="47">
        <f>R161*R177</f>
        <v/>
      </c>
    </row>
    <row r="177">
      <c r="B177" s="30" t="inlineStr">
        <is>
          <t>% of revenue</t>
        </is>
      </c>
      <c r="C177" s="7" t="inlineStr">
        <is>
          <t>%</t>
        </is>
      </c>
      <c r="F177" s="77">
        <f>'Model'!F32</f>
        <v/>
      </c>
      <c r="G177" s="77">
        <f>'Model'!G32</f>
        <v/>
      </c>
      <c r="H177" s="77">
        <f>'Model'!H32</f>
        <v/>
      </c>
      <c r="I177" s="76">
        <f>'Drivers'!I$91</f>
        <v/>
      </c>
      <c r="J177" s="77">
        <f>'Drivers'!J$91</f>
        <v/>
      </c>
      <c r="K177" s="77">
        <f>'Drivers'!K$91</f>
        <v/>
      </c>
      <c r="L177" s="77">
        <f>'Drivers'!L$91</f>
        <v/>
      </c>
      <c r="M177" s="77">
        <f>'Drivers'!M$91</f>
        <v/>
      </c>
      <c r="N177" s="77">
        <f>'Drivers'!N$91</f>
        <v/>
      </c>
      <c r="O177" s="77">
        <f>'Drivers'!O$91</f>
        <v/>
      </c>
      <c r="P177" s="77">
        <f>'Drivers'!P$91</f>
        <v/>
      </c>
      <c r="Q177" s="77">
        <f>'Drivers'!Q$91</f>
        <v/>
      </c>
      <c r="R177" s="77">
        <f>'Drivers'!R$91</f>
        <v/>
      </c>
    </row>
    <row r="178">
      <c r="B178" s="6" t="inlineStr">
        <is>
          <t>Operating income</t>
        </is>
      </c>
      <c r="C178" s="7" t="inlineStr">
        <is>
          <t>$mm</t>
        </is>
      </c>
      <c r="F178" s="62">
        <f>'Model'!F33</f>
        <v/>
      </c>
      <c r="G178" s="62">
        <f>'Model'!G33</f>
        <v/>
      </c>
      <c r="H178" s="62">
        <f>'Model'!H33</f>
        <v/>
      </c>
      <c r="I178" s="61">
        <f>I174-I176</f>
        <v/>
      </c>
      <c r="J178" s="56">
        <f>J174-J176</f>
        <v/>
      </c>
      <c r="K178" s="56">
        <f>K174-K176</f>
        <v/>
      </c>
      <c r="L178" s="56">
        <f>L174-L176</f>
        <v/>
      </c>
      <c r="M178" s="56">
        <f>M174-M176</f>
        <v/>
      </c>
      <c r="N178" s="56">
        <f>N174-N176</f>
        <v/>
      </c>
      <c r="O178" s="56">
        <f>O174-O176</f>
        <v/>
      </c>
      <c r="P178" s="56">
        <f>P174-P176</f>
        <v/>
      </c>
      <c r="Q178" s="56">
        <f>Q174-Q176</f>
        <v/>
      </c>
      <c r="R178" s="56">
        <f>R174-R176</f>
        <v/>
      </c>
    </row>
    <row r="179">
      <c r="B179" s="30" t="inlineStr">
        <is>
          <t>operating margin</t>
        </is>
      </c>
      <c r="C179" s="7" t="inlineStr">
        <is>
          <t>%</t>
        </is>
      </c>
      <c r="F179" s="77">
        <f>'Model'!F34</f>
        <v/>
      </c>
      <c r="G179" s="77">
        <f>'Model'!G34</f>
        <v/>
      </c>
      <c r="H179" s="77">
        <f>'Model'!H34</f>
        <v/>
      </c>
      <c r="I179" s="64">
        <f>I178/I161</f>
        <v/>
      </c>
      <c r="J179" s="60">
        <f>J178/J161</f>
        <v/>
      </c>
      <c r="K179" s="60">
        <f>K178/K161</f>
        <v/>
      </c>
      <c r="L179" s="60">
        <f>L178/L161</f>
        <v/>
      </c>
      <c r="M179" s="60">
        <f>M178/M161</f>
        <v/>
      </c>
      <c r="N179" s="60">
        <f>N178/N161</f>
        <v/>
      </c>
      <c r="O179" s="60">
        <f>O178/O161</f>
        <v/>
      </c>
      <c r="P179" s="60">
        <f>P178/P161</f>
        <v/>
      </c>
      <c r="Q179" s="60">
        <f>Q178/Q161</f>
        <v/>
      </c>
      <c r="R179" s="60">
        <f>R178/R161</f>
        <v/>
      </c>
    </row>
    <row r="180">
      <c r="B180" s="30" t="inlineStr">
        <is>
          <t>y/y</t>
        </is>
      </c>
      <c r="C180" s="7" t="inlineStr">
        <is>
          <t>%</t>
        </is>
      </c>
      <c r="G180" s="77">
        <f>'Model'!G35</f>
        <v/>
      </c>
      <c r="H180" s="77">
        <f>'Model'!H35</f>
        <v/>
      </c>
      <c r="I180" s="64">
        <f>I178/H178-1</f>
        <v/>
      </c>
      <c r="J180" s="60">
        <f>J178/I178-1</f>
        <v/>
      </c>
      <c r="K180" s="60">
        <f>K178/J178-1</f>
        <v/>
      </c>
      <c r="L180" s="60">
        <f>L178/K178-1</f>
        <v/>
      </c>
      <c r="M180" s="60">
        <f>M178/L178-1</f>
        <v/>
      </c>
      <c r="N180" s="60">
        <f>N178/M178-1</f>
        <v/>
      </c>
      <c r="O180" s="60">
        <f>O178/N178-1</f>
        <v/>
      </c>
      <c r="P180" s="60">
        <f>P178/O178-1</f>
        <v/>
      </c>
      <c r="Q180" s="60">
        <f>Q178/P178-1</f>
        <v/>
      </c>
      <c r="R180" s="60">
        <f>R178/Q178-1</f>
        <v/>
      </c>
    </row>
    <row r="181">
      <c r="B181" s="10" t="inlineStr">
        <is>
          <t>Interest expense</t>
        </is>
      </c>
      <c r="C181" s="7" t="inlineStr">
        <is>
          <t>$mm</t>
        </is>
      </c>
      <c r="F181" s="12">
        <f>'Model'!F36</f>
        <v/>
      </c>
      <c r="G181" s="12">
        <f>'Model'!G36</f>
        <v/>
      </c>
      <c r="H181" s="12">
        <f>'Model'!H36</f>
        <v/>
      </c>
      <c r="I181" s="32">
        <f>-H211*'Drivers'!I$62</f>
        <v/>
      </c>
      <c r="J181" s="12">
        <f>-I211*'Drivers'!J$62</f>
        <v/>
      </c>
      <c r="K181" s="12">
        <f>-J211*'Drivers'!K$62</f>
        <v/>
      </c>
      <c r="L181" s="12">
        <f>-K211*'Drivers'!L$62</f>
        <v/>
      </c>
      <c r="M181" s="12">
        <f>-L211*'Drivers'!M$62</f>
        <v/>
      </c>
      <c r="N181" s="12">
        <f>-M211*'Drivers'!N$62</f>
        <v/>
      </c>
      <c r="O181" s="12">
        <f>-N211*'Drivers'!O$62</f>
        <v/>
      </c>
      <c r="P181" s="12">
        <f>-O211*'Drivers'!P$62</f>
        <v/>
      </c>
      <c r="Q181" s="12">
        <f>-P211*'Drivers'!Q$62</f>
        <v/>
      </c>
      <c r="R181" s="12">
        <f>-Q211*'Drivers'!R$62</f>
        <v/>
      </c>
    </row>
    <row r="182">
      <c r="B182" s="10" t="inlineStr">
        <is>
          <t>Interest and other income (expense)</t>
        </is>
      </c>
      <c r="C182" s="7" t="inlineStr">
        <is>
          <t>$mm</t>
        </is>
      </c>
      <c r="F182" s="12">
        <f>'Model'!F37</f>
        <v/>
      </c>
      <c r="G182" s="12">
        <f>'Model'!G37</f>
        <v/>
      </c>
      <c r="H182" s="12">
        <f>'Model'!H37</f>
        <v/>
      </c>
      <c r="I182" s="32">
        <f>I209*'Drivers'!I$63+I183</f>
        <v/>
      </c>
      <c r="J182" s="12">
        <f>J209*'Drivers'!J$63+J183</f>
        <v/>
      </c>
      <c r="K182" s="12">
        <f>K209*'Drivers'!K$63+K183</f>
        <v/>
      </c>
      <c r="L182" s="12">
        <f>L209*'Drivers'!L$63+L183</f>
        <v/>
      </c>
      <c r="M182" s="12">
        <f>M209*'Drivers'!M$63+M183</f>
        <v/>
      </c>
      <c r="N182" s="12">
        <f>N209*'Drivers'!N$63+N183</f>
        <v/>
      </c>
      <c r="O182" s="12">
        <f>O209*'Drivers'!O$63+O183</f>
        <v/>
      </c>
      <c r="P182" s="12">
        <f>P209*'Drivers'!P$63+P183</f>
        <v/>
      </c>
      <c r="Q182" s="12">
        <f>Q209*'Drivers'!Q$63+Q183</f>
        <v/>
      </c>
      <c r="R182" s="12">
        <f>R209*'Drivers'!R$63+R183</f>
        <v/>
      </c>
    </row>
    <row r="183">
      <c r="B183" s="30" t="inlineStr">
        <is>
          <t>of which one-off (WBD termination fee)</t>
        </is>
      </c>
      <c r="C183" s="7" t="inlineStr">
        <is>
          <t>$mm</t>
        </is>
      </c>
      <c r="F183" s="79">
        <f>'Model'!F38</f>
        <v/>
      </c>
      <c r="G183" s="79">
        <f>'Model'!G38</f>
        <v/>
      </c>
      <c r="H183" s="79">
        <f>'Model'!H38</f>
        <v/>
      </c>
      <c r="I183" s="78">
        <f>'Drivers'!I$64</f>
        <v/>
      </c>
      <c r="J183" s="79">
        <f>'Drivers'!J$64</f>
        <v/>
      </c>
      <c r="K183" s="79">
        <f>'Drivers'!K$64</f>
        <v/>
      </c>
      <c r="L183" s="79">
        <f>'Drivers'!L$64</f>
        <v/>
      </c>
      <c r="M183" s="79">
        <f>'Drivers'!M$64</f>
        <v/>
      </c>
      <c r="N183" s="79">
        <f>'Drivers'!N$64</f>
        <v/>
      </c>
      <c r="O183" s="79">
        <f>'Drivers'!O$64</f>
        <v/>
      </c>
      <c r="P183" s="79">
        <f>'Drivers'!P$64</f>
        <v/>
      </c>
      <c r="Q183" s="79">
        <f>'Drivers'!Q$64</f>
        <v/>
      </c>
      <c r="R183" s="79">
        <f>'Drivers'!R$64</f>
        <v/>
      </c>
    </row>
    <row r="184">
      <c r="B184" s="10" t="inlineStr">
        <is>
          <t>Income before income taxes</t>
        </is>
      </c>
      <c r="C184" s="7" t="inlineStr">
        <is>
          <t>$mm</t>
        </is>
      </c>
      <c r="F184" s="107">
        <f>'Model'!F39</f>
        <v/>
      </c>
      <c r="G184" s="107">
        <f>'Model'!G39</f>
        <v/>
      </c>
      <c r="H184" s="107">
        <f>'Model'!H39</f>
        <v/>
      </c>
      <c r="I184" s="82">
        <f>I178+I181+I182</f>
        <v/>
      </c>
      <c r="J184" s="81">
        <f>J178+J181+J182</f>
        <v/>
      </c>
      <c r="K184" s="81">
        <f>K178+K181+K182</f>
        <v/>
      </c>
      <c r="L184" s="81">
        <f>L178+L181+L182</f>
        <v/>
      </c>
      <c r="M184" s="81">
        <f>M178+M181+M182</f>
        <v/>
      </c>
      <c r="N184" s="81">
        <f>N178+N181+N182</f>
        <v/>
      </c>
      <c r="O184" s="81">
        <f>O178+O181+O182</f>
        <v/>
      </c>
      <c r="P184" s="81">
        <f>P178+P181+P182</f>
        <v/>
      </c>
      <c r="Q184" s="81">
        <f>Q178+Q181+Q182</f>
        <v/>
      </c>
      <c r="R184" s="81">
        <f>R178+R181+R182</f>
        <v/>
      </c>
    </row>
    <row r="185">
      <c r="B185" s="10" t="inlineStr">
        <is>
          <t>Provision for income taxes</t>
        </is>
      </c>
      <c r="C185" s="7" t="inlineStr">
        <is>
          <t>$mm</t>
        </is>
      </c>
      <c r="F185" s="12">
        <f>'Model'!F40</f>
        <v/>
      </c>
      <c r="G185" s="12">
        <f>'Model'!G40</f>
        <v/>
      </c>
      <c r="H185" s="12">
        <f>'Model'!H40</f>
        <v/>
      </c>
      <c r="I185" s="59">
        <f>I184*I186</f>
        <v/>
      </c>
      <c r="J185" s="47">
        <f>J184*J186</f>
        <v/>
      </c>
      <c r="K185" s="47">
        <f>K184*K186</f>
        <v/>
      </c>
      <c r="L185" s="47">
        <f>L184*L186</f>
        <v/>
      </c>
      <c r="M185" s="47">
        <f>M184*M186</f>
        <v/>
      </c>
      <c r="N185" s="47">
        <f>N184*N186</f>
        <v/>
      </c>
      <c r="O185" s="47">
        <f>O184*O186</f>
        <v/>
      </c>
      <c r="P185" s="47">
        <f>P184*P186</f>
        <v/>
      </c>
      <c r="Q185" s="47">
        <f>Q184*Q186</f>
        <v/>
      </c>
      <c r="R185" s="47">
        <f>R184*R186</f>
        <v/>
      </c>
    </row>
    <row r="186">
      <c r="B186" s="30" t="inlineStr">
        <is>
          <t>effective tax rate</t>
        </is>
      </c>
      <c r="C186" s="7" t="inlineStr">
        <is>
          <t>%</t>
        </is>
      </c>
      <c r="F186" s="77">
        <f>'Model'!F41</f>
        <v/>
      </c>
      <c r="G186" s="77">
        <f>'Model'!G41</f>
        <v/>
      </c>
      <c r="H186" s="77">
        <f>'Model'!H41</f>
        <v/>
      </c>
      <c r="I186" s="76">
        <f>'Drivers'!I$61</f>
        <v/>
      </c>
      <c r="J186" s="77">
        <f>'Drivers'!J$61</f>
        <v/>
      </c>
      <c r="K186" s="77">
        <f>'Drivers'!K$61</f>
        <v/>
      </c>
      <c r="L186" s="77">
        <f>'Drivers'!L$61</f>
        <v/>
      </c>
      <c r="M186" s="77">
        <f>'Drivers'!M$61</f>
        <v/>
      </c>
      <c r="N186" s="77">
        <f>'Drivers'!N$61</f>
        <v/>
      </c>
      <c r="O186" s="77">
        <f>'Drivers'!O$61</f>
        <v/>
      </c>
      <c r="P186" s="77">
        <f>'Drivers'!P$61</f>
        <v/>
      </c>
      <c r="Q186" s="77">
        <f>'Drivers'!Q$61</f>
        <v/>
      </c>
      <c r="R186" s="77">
        <f>'Drivers'!R$61</f>
        <v/>
      </c>
    </row>
    <row r="187">
      <c r="B187" s="6" t="inlineStr">
        <is>
          <t>Net income</t>
        </is>
      </c>
      <c r="C187" s="7" t="inlineStr">
        <is>
          <t>$mm</t>
        </is>
      </c>
      <c r="F187" s="62">
        <f>'Model'!F42</f>
        <v/>
      </c>
      <c r="G187" s="62">
        <f>'Model'!G42</f>
        <v/>
      </c>
      <c r="H187" s="62">
        <f>'Model'!H42</f>
        <v/>
      </c>
      <c r="I187" s="61">
        <f>I184-I185</f>
        <v/>
      </c>
      <c r="J187" s="56">
        <f>J184-J185</f>
        <v/>
      </c>
      <c r="K187" s="56">
        <f>K184-K185</f>
        <v/>
      </c>
      <c r="L187" s="56">
        <f>L184-L185</f>
        <v/>
      </c>
      <c r="M187" s="56">
        <f>M184-M185</f>
        <v/>
      </c>
      <c r="N187" s="56">
        <f>N184-N185</f>
        <v/>
      </c>
      <c r="O187" s="56">
        <f>O184-O185</f>
        <v/>
      </c>
      <c r="P187" s="56">
        <f>P184-P185</f>
        <v/>
      </c>
      <c r="Q187" s="56">
        <f>Q184-Q185</f>
        <v/>
      </c>
      <c r="R187" s="56">
        <f>R184-R185</f>
        <v/>
      </c>
    </row>
    <row r="188">
      <c r="B188" s="30" t="inlineStr">
        <is>
          <t>net margin</t>
        </is>
      </c>
      <c r="C188" s="7" t="inlineStr">
        <is>
          <t>%</t>
        </is>
      </c>
      <c r="F188" s="77">
        <f>'Model'!F43</f>
        <v/>
      </c>
      <c r="G188" s="77">
        <f>'Model'!G43</f>
        <v/>
      </c>
      <c r="H188" s="77">
        <f>'Model'!H43</f>
        <v/>
      </c>
      <c r="I188" s="64">
        <f>I187/I161</f>
        <v/>
      </c>
      <c r="J188" s="60">
        <f>J187/J161</f>
        <v/>
      </c>
      <c r="K188" s="60">
        <f>K187/K161</f>
        <v/>
      </c>
      <c r="L188" s="60">
        <f>L187/L161</f>
        <v/>
      </c>
      <c r="M188" s="60">
        <f>M187/M161</f>
        <v/>
      </c>
      <c r="N188" s="60">
        <f>N187/N161</f>
        <v/>
      </c>
      <c r="O188" s="60">
        <f>O187/O161</f>
        <v/>
      </c>
      <c r="P188" s="60">
        <f>P187/P161</f>
        <v/>
      </c>
      <c r="Q188" s="60">
        <f>Q187/Q161</f>
        <v/>
      </c>
      <c r="R188" s="60">
        <f>R187/R161</f>
        <v/>
      </c>
    </row>
    <row r="189">
      <c r="B189" s="10" t="inlineStr">
        <is>
          <t>Diluted shares, weighted average</t>
        </is>
      </c>
      <c r="C189" s="7" t="inlineStr">
        <is>
          <t>mm</t>
        </is>
      </c>
      <c r="F189" s="11">
        <f>'Model'!F44</f>
        <v/>
      </c>
      <c r="G189" s="11">
        <f>'Model'!G44</f>
        <v/>
      </c>
      <c r="H189" s="11">
        <f>'Model'!H44</f>
        <v/>
      </c>
      <c r="I189" s="83">
        <f>(H218+I218)/2</f>
        <v/>
      </c>
      <c r="J189" s="84">
        <f>(I218+J218)/2</f>
        <v/>
      </c>
      <c r="K189" s="84">
        <f>(J218+K218)/2</f>
        <v/>
      </c>
      <c r="L189" s="84">
        <f>(K218+L218)/2</f>
        <v/>
      </c>
      <c r="M189" s="84">
        <f>(L218+M218)/2</f>
        <v/>
      </c>
      <c r="N189" s="84">
        <f>(M218+N218)/2</f>
        <v/>
      </c>
      <c r="O189" s="84">
        <f>(N218+O218)/2</f>
        <v/>
      </c>
      <c r="P189" s="84">
        <f>(O218+P218)/2</f>
        <v/>
      </c>
      <c r="Q189" s="84">
        <f>(P218+Q218)/2</f>
        <v/>
      </c>
      <c r="R189" s="84">
        <f>(Q218+R218)/2</f>
        <v/>
      </c>
    </row>
    <row r="190">
      <c r="B190" s="6" t="inlineStr">
        <is>
          <t>Diluted EPS, GAAP</t>
        </is>
      </c>
      <c r="C190" s="7" t="inlineStr">
        <is>
          <t>$</t>
        </is>
      </c>
      <c r="F190" s="22">
        <f>'Model'!F45</f>
        <v/>
      </c>
      <c r="G190" s="22">
        <f>'Model'!G45</f>
        <v/>
      </c>
      <c r="H190" s="22">
        <f>'Model'!H45</f>
        <v/>
      </c>
      <c r="I190" s="70">
        <f>I187/I189</f>
        <v/>
      </c>
      <c r="J190" s="69">
        <f>J187/J189</f>
        <v/>
      </c>
      <c r="K190" s="69">
        <f>K187/K189</f>
        <v/>
      </c>
      <c r="L190" s="69">
        <f>L187/L189</f>
        <v/>
      </c>
      <c r="M190" s="69">
        <f>M187/M189</f>
        <v/>
      </c>
      <c r="N190" s="69">
        <f>N187/N189</f>
        <v/>
      </c>
      <c r="O190" s="69">
        <f>O187/O189</f>
        <v/>
      </c>
      <c r="P190" s="69">
        <f>P187/P189</f>
        <v/>
      </c>
      <c r="Q190" s="69">
        <f>Q187/Q189</f>
        <v/>
      </c>
      <c r="R190" s="69">
        <f>R187/R189</f>
        <v/>
      </c>
    </row>
    <row r="191">
      <c r="B191" s="30" t="inlineStr">
        <is>
          <t>y/y</t>
        </is>
      </c>
      <c r="C191" s="7" t="inlineStr">
        <is>
          <t>%</t>
        </is>
      </c>
      <c r="G191" s="77">
        <f>'Model'!G46</f>
        <v/>
      </c>
      <c r="H191" s="77">
        <f>'Model'!H46</f>
        <v/>
      </c>
      <c r="I191" s="64">
        <f>I190/H190-1</f>
        <v/>
      </c>
      <c r="J191" s="60">
        <f>J190/I190-1</f>
        <v/>
      </c>
      <c r="K191" s="60">
        <f>K190/J190-1</f>
        <v/>
      </c>
      <c r="L191" s="60">
        <f>L190/K190-1</f>
        <v/>
      </c>
      <c r="M191" s="60">
        <f>M190/L190-1</f>
        <v/>
      </c>
      <c r="N191" s="60">
        <f>N190/M190-1</f>
        <v/>
      </c>
      <c r="O191" s="60">
        <f>O190/N190-1</f>
        <v/>
      </c>
      <c r="P191" s="60">
        <f>P190/O190-1</f>
        <v/>
      </c>
      <c r="Q191" s="60">
        <f>Q190/P190-1</f>
        <v/>
      </c>
      <c r="R191" s="60">
        <f>R190/Q190-1</f>
        <v/>
      </c>
    </row>
    <row r="192">
      <c r="B192" s="6" t="inlineStr">
        <is>
          <t>Diluted EPS ex one-offs</t>
        </is>
      </c>
      <c r="C192" s="7" t="inlineStr">
        <is>
          <t>$</t>
        </is>
      </c>
      <c r="F192" s="22">
        <f>'Model'!F47</f>
        <v/>
      </c>
      <c r="G192" s="22">
        <f>'Model'!G47</f>
        <v/>
      </c>
      <c r="H192" s="22">
        <f>'Model'!H47</f>
        <v/>
      </c>
      <c r="I192" s="70">
        <f>(I184-I183)*(1-I186)/I189</f>
        <v/>
      </c>
      <c r="J192" s="69">
        <f>(J184-J183)*(1-J186)/J189</f>
        <v/>
      </c>
      <c r="K192" s="69">
        <f>(K184-K183)*(1-K186)/K189</f>
        <v/>
      </c>
      <c r="L192" s="69">
        <f>(L184-L183)*(1-L186)/L189</f>
        <v/>
      </c>
      <c r="M192" s="69">
        <f>(M184-M183)*(1-M186)/M189</f>
        <v/>
      </c>
      <c r="N192" s="69">
        <f>(N184-N183)*(1-N186)/N189</f>
        <v/>
      </c>
      <c r="O192" s="69">
        <f>(O184-O183)*(1-O186)/O189</f>
        <v/>
      </c>
      <c r="P192" s="69">
        <f>(P184-P183)*(1-P186)/P189</f>
        <v/>
      </c>
      <c r="Q192" s="69">
        <f>(Q184-Q183)*(1-Q186)/Q189</f>
        <v/>
      </c>
      <c r="R192" s="69">
        <f>(R184-R183)*(1-R186)/R189</f>
        <v/>
      </c>
    </row>
    <row r="193">
      <c r="B193" s="30" t="inlineStr">
        <is>
          <t>y/y</t>
        </is>
      </c>
      <c r="C193" s="7" t="inlineStr">
        <is>
          <t>%</t>
        </is>
      </c>
      <c r="G193" s="77">
        <f>'Model'!G48</f>
        <v/>
      </c>
      <c r="H193" s="77">
        <f>'Model'!H48</f>
        <v/>
      </c>
      <c r="I193" s="64">
        <f>I192/H192-1</f>
        <v/>
      </c>
      <c r="J193" s="60">
        <f>J192/I192-1</f>
        <v/>
      </c>
      <c r="K193" s="60">
        <f>K192/J192-1</f>
        <v/>
      </c>
      <c r="L193" s="60">
        <f>L192/K192-1</f>
        <v/>
      </c>
      <c r="M193" s="60">
        <f>M192/L192-1</f>
        <v/>
      </c>
      <c r="N193" s="60">
        <f>N192/M192-1</f>
        <v/>
      </c>
      <c r="O193" s="60">
        <f>O192/N192-1</f>
        <v/>
      </c>
      <c r="P193" s="60">
        <f>P192/O192-1</f>
        <v/>
      </c>
      <c r="Q193" s="60">
        <f>Q192/P192-1</f>
        <v/>
      </c>
      <c r="R193" s="60">
        <f>R192/Q192-1</f>
        <v/>
      </c>
    </row>
    <row r="194">
      <c r="I194" s="65" t="n"/>
    </row>
    <row r="195">
      <c r="B195" s="4" t="inlineStr">
        <is>
          <t>CASH FLOW, BUYBACKS AND NET DEBT</t>
        </is>
      </c>
      <c r="C195" s="5" t="n"/>
      <c r="D195" s="5" t="n"/>
      <c r="E195" s="5" t="n"/>
      <c r="F195" s="5" t="n"/>
      <c r="G195" s="5" t="n"/>
      <c r="H195" s="5" t="n"/>
      <c r="I195" s="66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B196" s="10" t="inlineStr">
        <is>
          <t>NOPAT (operating income after tax)</t>
        </is>
      </c>
      <c r="C196" s="7" t="inlineStr">
        <is>
          <t>$mm</t>
        </is>
      </c>
      <c r="I196" s="59">
        <f>I178*(1-I186)</f>
        <v/>
      </c>
      <c r="J196" s="47">
        <f>J178*(1-J186)</f>
        <v/>
      </c>
      <c r="K196" s="47">
        <f>K178*(1-K186)</f>
        <v/>
      </c>
      <c r="L196" s="47">
        <f>L178*(1-L186)</f>
        <v/>
      </c>
      <c r="M196" s="47">
        <f>M178*(1-M186)</f>
        <v/>
      </c>
      <c r="N196" s="47">
        <f>N178*(1-N186)</f>
        <v/>
      </c>
      <c r="O196" s="47">
        <f>O178*(1-O186)</f>
        <v/>
      </c>
      <c r="P196" s="47">
        <f>P178*(1-P186)</f>
        <v/>
      </c>
      <c r="Q196" s="47">
        <f>Q178*(1-Q186)</f>
        <v/>
      </c>
      <c r="R196" s="47">
        <f>R178*(1-R186)</f>
        <v/>
      </c>
    </row>
    <row r="197">
      <c r="B197" s="10" t="inlineStr">
        <is>
          <t>Plus: content amortization</t>
        </is>
      </c>
      <c r="C197" s="7" t="inlineStr">
        <is>
          <t>$mm</t>
        </is>
      </c>
      <c r="F197" s="12">
        <f>'Model'!F52</f>
        <v/>
      </c>
      <c r="G197" s="12">
        <f>'Model'!G52</f>
        <v/>
      </c>
      <c r="H197" s="12">
        <f>'Model'!H52</f>
        <v/>
      </c>
      <c r="I197" s="59">
        <f>I169</f>
        <v/>
      </c>
      <c r="J197" s="47">
        <f>J169</f>
        <v/>
      </c>
      <c r="K197" s="47">
        <f>K169</f>
        <v/>
      </c>
      <c r="L197" s="47">
        <f>L169</f>
        <v/>
      </c>
      <c r="M197" s="47">
        <f>M169</f>
        <v/>
      </c>
      <c r="N197" s="47">
        <f>N169</f>
        <v/>
      </c>
      <c r="O197" s="47">
        <f>O169</f>
        <v/>
      </c>
      <c r="P197" s="47">
        <f>P169</f>
        <v/>
      </c>
      <c r="Q197" s="47">
        <f>Q169</f>
        <v/>
      </c>
      <c r="R197" s="47">
        <f>R169</f>
        <v/>
      </c>
    </row>
    <row r="198">
      <c r="B198" s="10" t="inlineStr">
        <is>
          <t>Less: cash content spend</t>
        </is>
      </c>
      <c r="C198" s="7" t="inlineStr">
        <is>
          <t>$mm</t>
        </is>
      </c>
      <c r="F198" s="12">
        <f>'Model'!F53</f>
        <v/>
      </c>
      <c r="G198" s="12">
        <f>'Model'!G53</f>
        <v/>
      </c>
      <c r="H198" s="12">
        <f>'Model'!H53</f>
        <v/>
      </c>
      <c r="I198" s="32">
        <f>-I169*'Drivers'!I$56</f>
        <v/>
      </c>
      <c r="J198" s="12">
        <f>-J169*'Drivers'!J$56</f>
        <v/>
      </c>
      <c r="K198" s="12">
        <f>-K169*'Drivers'!K$56</f>
        <v/>
      </c>
      <c r="L198" s="12">
        <f>-L169*'Drivers'!L$56</f>
        <v/>
      </c>
      <c r="M198" s="12">
        <f>-M169*'Drivers'!M$56</f>
        <v/>
      </c>
      <c r="N198" s="12">
        <f>-N169*'Drivers'!N$56</f>
        <v/>
      </c>
      <c r="O198" s="12">
        <f>-O169*'Drivers'!O$56</f>
        <v/>
      </c>
      <c r="P198" s="12">
        <f>-P169*'Drivers'!P$56</f>
        <v/>
      </c>
      <c r="Q198" s="12">
        <f>-Q169*'Drivers'!Q$56</f>
        <v/>
      </c>
      <c r="R198" s="12">
        <f>-R169*'Drivers'!R$56</f>
        <v/>
      </c>
    </row>
    <row r="199">
      <c r="B199" s="30" t="inlineStr">
        <is>
          <t>cash content spend / amortization</t>
        </is>
      </c>
      <c r="C199" s="7" t="inlineStr">
        <is>
          <t>x</t>
        </is>
      </c>
      <c r="F199" s="74">
        <f>'Model'!F54</f>
        <v/>
      </c>
      <c r="G199" s="74">
        <f>'Model'!G54</f>
        <v/>
      </c>
      <c r="H199" s="74">
        <f>'Model'!H54</f>
        <v/>
      </c>
      <c r="I199" s="85">
        <f>-I198/I197</f>
        <v/>
      </c>
      <c r="J199" s="73">
        <f>-J198/J197</f>
        <v/>
      </c>
      <c r="K199" s="73">
        <f>-K198/K197</f>
        <v/>
      </c>
      <c r="L199" s="73">
        <f>-L198/L197</f>
        <v/>
      </c>
      <c r="M199" s="73">
        <f>-M198/M197</f>
        <v/>
      </c>
      <c r="N199" s="73">
        <f>-N198/N197</f>
        <v/>
      </c>
      <c r="O199" s="73">
        <f>-O198/O197</f>
        <v/>
      </c>
      <c r="P199" s="73">
        <f>-P198/P197</f>
        <v/>
      </c>
      <c r="Q199" s="73">
        <f>-Q198/Q197</f>
        <v/>
      </c>
      <c r="R199" s="73">
        <f>-R198/R197</f>
        <v/>
      </c>
    </row>
    <row r="200">
      <c r="B200" s="10" t="inlineStr">
        <is>
          <t>Plus: depreciation and amortization ex content</t>
        </is>
      </c>
      <c r="C200" s="7" t="inlineStr">
        <is>
          <t>$mm</t>
        </is>
      </c>
      <c r="F200" s="12">
        <f>'Model'!F55</f>
        <v/>
      </c>
      <c r="G200" s="12">
        <f>'Model'!G55</f>
        <v/>
      </c>
      <c r="H200" s="12">
        <f>'Model'!H55</f>
        <v/>
      </c>
      <c r="I200" s="32">
        <f>I161*'Drivers'!I$57</f>
        <v/>
      </c>
      <c r="J200" s="12">
        <f>J161*'Drivers'!J$57</f>
        <v/>
      </c>
      <c r="K200" s="12">
        <f>K161*'Drivers'!K$57</f>
        <v/>
      </c>
      <c r="L200" s="12">
        <f>L161*'Drivers'!L$57</f>
        <v/>
      </c>
      <c r="M200" s="12">
        <f>M161*'Drivers'!M$57</f>
        <v/>
      </c>
      <c r="N200" s="12">
        <f>N161*'Drivers'!N$57</f>
        <v/>
      </c>
      <c r="O200" s="12">
        <f>O161*'Drivers'!O$57</f>
        <v/>
      </c>
      <c r="P200" s="12">
        <f>P161*'Drivers'!P$57</f>
        <v/>
      </c>
      <c r="Q200" s="12">
        <f>Q161*'Drivers'!Q$57</f>
        <v/>
      </c>
      <c r="R200" s="12">
        <f>R161*'Drivers'!R$57</f>
        <v/>
      </c>
    </row>
    <row r="201">
      <c r="B201" s="10" t="inlineStr">
        <is>
          <t>Plus: stock-based compensation</t>
        </is>
      </c>
      <c r="C201" s="7" t="inlineStr">
        <is>
          <t>$mm</t>
        </is>
      </c>
      <c r="F201" s="12">
        <f>'Model'!F56</f>
        <v/>
      </c>
      <c r="G201" s="12">
        <f>'Model'!G56</f>
        <v/>
      </c>
      <c r="H201" s="12">
        <f>'Model'!H56</f>
        <v/>
      </c>
      <c r="I201" s="32">
        <f>I161*'Drivers'!I$58</f>
        <v/>
      </c>
      <c r="J201" s="12">
        <f>J161*'Drivers'!J$58</f>
        <v/>
      </c>
      <c r="K201" s="12">
        <f>K161*'Drivers'!K$58</f>
        <v/>
      </c>
      <c r="L201" s="12">
        <f>L161*'Drivers'!L$58</f>
        <v/>
      </c>
      <c r="M201" s="12">
        <f>M161*'Drivers'!M$58</f>
        <v/>
      </c>
      <c r="N201" s="12">
        <f>N161*'Drivers'!N$58</f>
        <v/>
      </c>
      <c r="O201" s="12">
        <f>O161*'Drivers'!O$58</f>
        <v/>
      </c>
      <c r="P201" s="12">
        <f>P161*'Drivers'!P$58</f>
        <v/>
      </c>
      <c r="Q201" s="12">
        <f>Q161*'Drivers'!Q$58</f>
        <v/>
      </c>
      <c r="R201" s="12">
        <f>R161*'Drivers'!R$58</f>
        <v/>
      </c>
    </row>
    <row r="202">
      <c r="B202" s="10" t="inlineStr">
        <is>
          <t>Less: capital expenditures</t>
        </is>
      </c>
      <c r="C202" s="7" t="inlineStr">
        <is>
          <t>$mm</t>
        </is>
      </c>
      <c r="F202" s="12">
        <f>'Model'!F57</f>
        <v/>
      </c>
      <c r="G202" s="12">
        <f>'Model'!G57</f>
        <v/>
      </c>
      <c r="H202" s="12">
        <f>'Model'!H57</f>
        <v/>
      </c>
      <c r="I202" s="32">
        <f>-I161*'Drivers'!I$59</f>
        <v/>
      </c>
      <c r="J202" s="12">
        <f>-J161*'Drivers'!J$59</f>
        <v/>
      </c>
      <c r="K202" s="12">
        <f>-K161*'Drivers'!K$59</f>
        <v/>
      </c>
      <c r="L202" s="12">
        <f>-L161*'Drivers'!L$59</f>
        <v/>
      </c>
      <c r="M202" s="12">
        <f>-M161*'Drivers'!M$59</f>
        <v/>
      </c>
      <c r="N202" s="12">
        <f>-N161*'Drivers'!N$59</f>
        <v/>
      </c>
      <c r="O202" s="12">
        <f>-O161*'Drivers'!O$59</f>
        <v/>
      </c>
      <c r="P202" s="12">
        <f>-P161*'Drivers'!P$59</f>
        <v/>
      </c>
      <c r="Q202" s="12">
        <f>-Q161*'Drivers'!Q$59</f>
        <v/>
      </c>
      <c r="R202" s="12">
        <f>-R161*'Drivers'!R$59</f>
        <v/>
      </c>
    </row>
    <row r="203">
      <c r="B203" s="10" t="inlineStr">
        <is>
          <t>Other operating cash items</t>
        </is>
      </c>
      <c r="C203" s="7" t="inlineStr">
        <is>
          <t>$mm</t>
        </is>
      </c>
      <c r="F203" s="12">
        <f>'Model'!F58</f>
        <v/>
      </c>
      <c r="G203" s="12">
        <f>'Model'!G58</f>
        <v/>
      </c>
      <c r="H203" s="12">
        <f>'Model'!H58</f>
        <v/>
      </c>
      <c r="I203" s="32">
        <f>I161*'Drivers'!I$60</f>
        <v/>
      </c>
      <c r="J203" s="12">
        <f>J161*'Drivers'!J$60</f>
        <v/>
      </c>
      <c r="K203" s="12">
        <f>K161*'Drivers'!K$60</f>
        <v/>
      </c>
      <c r="L203" s="12">
        <f>L161*'Drivers'!L$60</f>
        <v/>
      </c>
      <c r="M203" s="12">
        <f>M161*'Drivers'!M$60</f>
        <v/>
      </c>
      <c r="N203" s="12">
        <f>N161*'Drivers'!N$60</f>
        <v/>
      </c>
      <c r="O203" s="12">
        <f>O161*'Drivers'!O$60</f>
        <v/>
      </c>
      <c r="P203" s="12">
        <f>P161*'Drivers'!P$60</f>
        <v/>
      </c>
      <c r="Q203" s="12">
        <f>Q161*'Drivers'!Q$60</f>
        <v/>
      </c>
      <c r="R203" s="12">
        <f>R161*'Drivers'!R$60</f>
        <v/>
      </c>
    </row>
    <row r="204">
      <c r="B204" s="6" t="inlineStr">
        <is>
          <t>Unlevered free cash flow</t>
        </is>
      </c>
      <c r="C204" s="7" t="inlineStr">
        <is>
          <t>$mm</t>
        </is>
      </c>
      <c r="I204" s="61">
        <f>I196+I197+I198+I200+I201+I202+I203</f>
        <v/>
      </c>
      <c r="J204" s="56">
        <f>J196+J197+J198+J200+J201+J202+J203</f>
        <v/>
      </c>
      <c r="K204" s="56">
        <f>K196+K197+K198+K200+K201+K202+K203</f>
        <v/>
      </c>
      <c r="L204" s="56">
        <f>L196+L197+L198+L200+L201+L202+L203</f>
        <v/>
      </c>
      <c r="M204" s="56">
        <f>M196+M197+M198+M200+M201+M202+M203</f>
        <v/>
      </c>
      <c r="N204" s="56">
        <f>N196+N197+N198+N200+N201+N202+N203</f>
        <v/>
      </c>
      <c r="O204" s="56">
        <f>O196+O197+O198+O200+O201+O202+O203</f>
        <v/>
      </c>
      <c r="P204" s="56">
        <f>P196+P197+P198+P200+P201+P202+P203</f>
        <v/>
      </c>
      <c r="Q204" s="56">
        <f>Q196+Q197+Q198+Q200+Q201+Q202+Q203</f>
        <v/>
      </c>
      <c r="R204" s="56">
        <f>R196+R197+R198+R200+R201+R202+R203</f>
        <v/>
      </c>
    </row>
    <row r="205">
      <c r="B205" s="10" t="inlineStr">
        <is>
          <t>Plus: interest and other income, after tax</t>
        </is>
      </c>
      <c r="C205" s="7" t="inlineStr">
        <is>
          <t>$mm</t>
        </is>
      </c>
      <c r="I205" s="59">
        <f>(I181+I182)*(1-I186)</f>
        <v/>
      </c>
      <c r="J205" s="47">
        <f>(J181+J182)*(1-J186)</f>
        <v/>
      </c>
      <c r="K205" s="47">
        <f>(K181+K182)*(1-K186)</f>
        <v/>
      </c>
      <c r="L205" s="47">
        <f>(L181+L182)*(1-L186)</f>
        <v/>
      </c>
      <c r="M205" s="47">
        <f>(M181+M182)*(1-M186)</f>
        <v/>
      </c>
      <c r="N205" s="47">
        <f>(N181+N182)*(1-N186)</f>
        <v/>
      </c>
      <c r="O205" s="47">
        <f>(O181+O182)*(1-O186)</f>
        <v/>
      </c>
      <c r="P205" s="47">
        <f>(P181+P182)*(1-P186)</f>
        <v/>
      </c>
      <c r="Q205" s="47">
        <f>(Q181+Q182)*(1-Q186)</f>
        <v/>
      </c>
      <c r="R205" s="47">
        <f>(R181+R182)*(1-R186)</f>
        <v/>
      </c>
    </row>
    <row r="206">
      <c r="B206" s="6" t="inlineStr">
        <is>
          <t>Free cash flow</t>
        </is>
      </c>
      <c r="C206" s="7" t="inlineStr">
        <is>
          <t>$mm</t>
        </is>
      </c>
      <c r="F206" s="13">
        <f>'Model'!F61</f>
        <v/>
      </c>
      <c r="G206" s="13">
        <f>'Model'!G61</f>
        <v/>
      </c>
      <c r="H206" s="13">
        <f>'Model'!H61</f>
        <v/>
      </c>
      <c r="I206" s="72">
        <f>I204+I205</f>
        <v/>
      </c>
      <c r="J206" s="46">
        <f>J204+J205</f>
        <v/>
      </c>
      <c r="K206" s="46">
        <f>K204+K205</f>
        <v/>
      </c>
      <c r="L206" s="46">
        <f>L204+L205</f>
        <v/>
      </c>
      <c r="M206" s="46">
        <f>M204+M205</f>
        <v/>
      </c>
      <c r="N206" s="46">
        <f>N204+N205</f>
        <v/>
      </c>
      <c r="O206" s="46">
        <f>O204+O205</f>
        <v/>
      </c>
      <c r="P206" s="46">
        <f>P204+P205</f>
        <v/>
      </c>
      <c r="Q206" s="46">
        <f>Q204+Q205</f>
        <v/>
      </c>
      <c r="R206" s="46">
        <f>R204+R205</f>
        <v/>
      </c>
    </row>
    <row r="207">
      <c r="B207" s="30" t="inlineStr">
        <is>
          <t>FCF margin</t>
        </is>
      </c>
      <c r="C207" s="7" t="inlineStr">
        <is>
          <t>%</t>
        </is>
      </c>
      <c r="F207" s="77">
        <f>'Model'!F62</f>
        <v/>
      </c>
      <c r="G207" s="77">
        <f>'Model'!G62</f>
        <v/>
      </c>
      <c r="H207" s="77">
        <f>'Model'!H62</f>
        <v/>
      </c>
      <c r="I207" s="64">
        <f>I206/I161</f>
        <v/>
      </c>
      <c r="J207" s="60">
        <f>J206/J161</f>
        <v/>
      </c>
      <c r="K207" s="60">
        <f>K206/K161</f>
        <v/>
      </c>
      <c r="L207" s="60">
        <f>L206/L161</f>
        <v/>
      </c>
      <c r="M207" s="60">
        <f>M206/M161</f>
        <v/>
      </c>
      <c r="N207" s="60">
        <f>N206/N161</f>
        <v/>
      </c>
      <c r="O207" s="60">
        <f>O206/O161</f>
        <v/>
      </c>
      <c r="P207" s="60">
        <f>P206/P161</f>
        <v/>
      </c>
      <c r="Q207" s="60">
        <f>Q206/Q161</f>
        <v/>
      </c>
      <c r="R207" s="60">
        <f>R206/R161</f>
        <v/>
      </c>
    </row>
    <row r="208">
      <c r="B208" s="30" t="inlineStr">
        <is>
          <t>FCF ex one-offs</t>
        </is>
      </c>
      <c r="C208" s="7" t="inlineStr">
        <is>
          <t>$mm</t>
        </is>
      </c>
      <c r="F208" s="79">
        <f>'Model'!F63</f>
        <v/>
      </c>
      <c r="G208" s="79">
        <f>'Model'!G63</f>
        <v/>
      </c>
      <c r="H208" s="79">
        <f>'Model'!H63</f>
        <v/>
      </c>
      <c r="I208" s="80">
        <f>I206-I183*(1-I186)</f>
        <v/>
      </c>
      <c r="J208" s="67">
        <f>J206-J183*(1-J186)</f>
        <v/>
      </c>
      <c r="K208" s="67">
        <f>K206-K183*(1-K186)</f>
        <v/>
      </c>
      <c r="L208" s="67">
        <f>L206-L183*(1-L186)</f>
        <v/>
      </c>
      <c r="M208" s="67">
        <f>M206-M183*(1-M186)</f>
        <v/>
      </c>
      <c r="N208" s="67">
        <f>N206-N183*(1-N186)</f>
        <v/>
      </c>
      <c r="O208" s="67">
        <f>O206-O183*(1-O186)</f>
        <v/>
      </c>
      <c r="P208" s="67">
        <f>P206-P183*(1-P186)</f>
        <v/>
      </c>
      <c r="Q208" s="67">
        <f>Q206-Q183*(1-Q186)</f>
        <v/>
      </c>
      <c r="R208" s="67">
        <f>R206-R183*(1-R186)</f>
        <v/>
      </c>
    </row>
    <row r="209">
      <c r="B209" s="10" t="inlineStr">
        <is>
          <t>Cash, beginning of year</t>
        </is>
      </c>
      <c r="C209" s="7" t="inlineStr">
        <is>
          <t>$mm</t>
        </is>
      </c>
      <c r="I209" s="59">
        <f>H215</f>
        <v/>
      </c>
      <c r="J209" s="47">
        <f>I215</f>
        <v/>
      </c>
      <c r="K209" s="47">
        <f>J215</f>
        <v/>
      </c>
      <c r="L209" s="47">
        <f>K215</f>
        <v/>
      </c>
      <c r="M209" s="47">
        <f>L215</f>
        <v/>
      </c>
      <c r="N209" s="47">
        <f>M215</f>
        <v/>
      </c>
      <c r="O209" s="47">
        <f>N215</f>
        <v/>
      </c>
      <c r="P209" s="47">
        <f>O215</f>
        <v/>
      </c>
      <c r="Q209" s="47">
        <f>P215</f>
        <v/>
      </c>
      <c r="R209" s="47">
        <f>Q215</f>
        <v/>
      </c>
    </row>
    <row r="210">
      <c r="B210" s="10" t="inlineStr">
        <is>
          <t>Cash held  (months of revenue)</t>
        </is>
      </c>
      <c r="C210" s="7" t="inlineStr">
        <is>
          <t>$mm</t>
        </is>
      </c>
      <c r="I210" s="32">
        <f>I161*'Drivers'!$D$32/12</f>
        <v/>
      </c>
      <c r="J210" s="12">
        <f>J161*'Drivers'!$D$32/12</f>
        <v/>
      </c>
      <c r="K210" s="12">
        <f>K161*'Drivers'!$D$32/12</f>
        <v/>
      </c>
      <c r="L210" s="12">
        <f>L161*'Drivers'!$D$32/12</f>
        <v/>
      </c>
      <c r="M210" s="12">
        <f>M161*'Drivers'!$D$32/12</f>
        <v/>
      </c>
      <c r="N210" s="12">
        <f>N161*'Drivers'!$D$32/12</f>
        <v/>
      </c>
      <c r="O210" s="12">
        <f>O161*'Drivers'!$D$32/12</f>
        <v/>
      </c>
      <c r="P210" s="12">
        <f>P161*'Drivers'!$D$32/12</f>
        <v/>
      </c>
      <c r="Q210" s="12">
        <f>Q161*'Drivers'!$D$32/12</f>
        <v/>
      </c>
      <c r="R210" s="12">
        <f>R161*'Drivers'!$D$32/12</f>
        <v/>
      </c>
    </row>
    <row r="211">
      <c r="B211" s="10" t="inlineStr">
        <is>
          <t>Gross debt, end of year</t>
        </is>
      </c>
      <c r="C211" s="7" t="inlineStr">
        <is>
          <t>$mm</t>
        </is>
      </c>
      <c r="F211" s="12">
        <f>'Model'!F66</f>
        <v/>
      </c>
      <c r="G211" s="12">
        <f>'Model'!G66</f>
        <v/>
      </c>
      <c r="H211" s="12">
        <f>'Model'!H66</f>
        <v/>
      </c>
      <c r="I211" s="32">
        <f>'Drivers'!I$65</f>
        <v/>
      </c>
      <c r="J211" s="12">
        <f>'Drivers'!J$65</f>
        <v/>
      </c>
      <c r="K211" s="12">
        <f>'Drivers'!K$65</f>
        <v/>
      </c>
      <c r="L211" s="12">
        <f>'Drivers'!L$65</f>
        <v/>
      </c>
      <c r="M211" s="12">
        <f>'Drivers'!M$65</f>
        <v/>
      </c>
      <c r="N211" s="12">
        <f>'Drivers'!N$65</f>
        <v/>
      </c>
      <c r="O211" s="12">
        <f>'Drivers'!O$65</f>
        <v/>
      </c>
      <c r="P211" s="12">
        <f>'Drivers'!P$65</f>
        <v/>
      </c>
      <c r="Q211" s="12">
        <f>'Drivers'!Q$65</f>
        <v/>
      </c>
      <c r="R211" s="12">
        <f>'Drivers'!R$65</f>
        <v/>
      </c>
    </row>
    <row r="212">
      <c r="B212" s="10" t="inlineStr">
        <is>
          <t>Debt issued / (repaid)</t>
        </is>
      </c>
      <c r="C212" s="7" t="inlineStr">
        <is>
          <t>$mm</t>
        </is>
      </c>
      <c r="I212" s="59">
        <f>I211-H211</f>
        <v/>
      </c>
      <c r="J212" s="47">
        <f>J211-I211</f>
        <v/>
      </c>
      <c r="K212" s="47">
        <f>K211-J211</f>
        <v/>
      </c>
      <c r="L212" s="47">
        <f>L211-K211</f>
        <v/>
      </c>
      <c r="M212" s="47">
        <f>M211-L211</f>
        <v/>
      </c>
      <c r="N212" s="47">
        <f>N211-M211</f>
        <v/>
      </c>
      <c r="O212" s="47">
        <f>O211-N211</f>
        <v/>
      </c>
      <c r="P212" s="47">
        <f>P211-O211</f>
        <v/>
      </c>
      <c r="Q212" s="47">
        <f>Q211-P211</f>
        <v/>
      </c>
      <c r="R212" s="47">
        <f>R211-Q211</f>
        <v/>
      </c>
    </row>
    <row r="213">
      <c r="B213" s="10" t="inlineStr">
        <is>
          <t>Share repurchases  (cash above the holding level)</t>
        </is>
      </c>
      <c r="C213" s="7" t="inlineStr">
        <is>
          <t>$mm</t>
        </is>
      </c>
      <c r="F213" s="12">
        <f>'Model'!F68</f>
        <v/>
      </c>
      <c r="G213" s="12">
        <f>'Model'!G68</f>
        <v/>
      </c>
      <c r="H213" s="12">
        <f>'Model'!H68</f>
        <v/>
      </c>
      <c r="I213" s="59">
        <f>-MAX(0,I209+I206+I212-I210)</f>
        <v/>
      </c>
      <c r="J213" s="47">
        <f>-MAX(0,J209+J206+J212-J210)</f>
        <v/>
      </c>
      <c r="K213" s="47">
        <f>-MAX(0,K209+K206+K212-K210)</f>
        <v/>
      </c>
      <c r="L213" s="47">
        <f>-MAX(0,L209+L206+L212-L210)</f>
        <v/>
      </c>
      <c r="M213" s="47">
        <f>-MAX(0,M209+M206+M212-M210)</f>
        <v/>
      </c>
      <c r="N213" s="47">
        <f>-MAX(0,N209+N206+N212-N210)</f>
        <v/>
      </c>
      <c r="O213" s="47">
        <f>-MAX(0,O209+O206+O212-O210)</f>
        <v/>
      </c>
      <c r="P213" s="47">
        <f>-MAX(0,P209+P206+P212-P210)</f>
        <v/>
      </c>
      <c r="Q213" s="47">
        <f>-MAX(0,Q209+Q206+Q212-Q210)</f>
        <v/>
      </c>
      <c r="R213" s="47">
        <f>-MAX(0,R209+R206+R212-R210)</f>
        <v/>
      </c>
    </row>
    <row r="214">
      <c r="B214" s="30" t="inlineStr">
        <is>
          <t>repurchase price</t>
        </is>
      </c>
      <c r="C214" s="7" t="inlineStr">
        <is>
          <t>$</t>
        </is>
      </c>
      <c r="I214" s="86">
        <f>'Drivers'!$D$34</f>
        <v/>
      </c>
      <c r="J214" s="87">
        <f>'Drivers'!$D$7*(1+'Drivers'!$D$35)^(J$151-$I$151)</f>
        <v/>
      </c>
      <c r="K214" s="87">
        <f>'Drivers'!$D$7*(1+'Drivers'!$D$35)^(K$151-$I$151)</f>
        <v/>
      </c>
      <c r="L214" s="87">
        <f>'Drivers'!$D$7*(1+'Drivers'!$D$35)^(L$151-$I$151)</f>
        <v/>
      </c>
      <c r="M214" s="87">
        <f>'Drivers'!$D$7*(1+'Drivers'!$D$35)^(M$151-$I$151)</f>
        <v/>
      </c>
      <c r="N214" s="87">
        <f>'Drivers'!$D$7*(1+'Drivers'!$D$35)^(N$151-$I$151)</f>
        <v/>
      </c>
      <c r="O214" s="87">
        <f>'Drivers'!$D$7*(1+'Drivers'!$D$35)^(O$151-$I$151)</f>
        <v/>
      </c>
      <c r="P214" s="87">
        <f>'Drivers'!$D$7*(1+'Drivers'!$D$35)^(P$151-$I$151)</f>
        <v/>
      </c>
      <c r="Q214" s="87">
        <f>'Drivers'!$D$7*(1+'Drivers'!$D$35)^(Q$151-$I$151)</f>
        <v/>
      </c>
      <c r="R214" s="87">
        <f>'Drivers'!$D$7*(1+'Drivers'!$D$35)^(R$151-$I$151)</f>
        <v/>
      </c>
    </row>
    <row r="215">
      <c r="B215" s="10" t="inlineStr">
        <is>
          <t>Cash, end of year</t>
        </is>
      </c>
      <c r="C215" s="7" t="inlineStr">
        <is>
          <t>$mm</t>
        </is>
      </c>
      <c r="F215" s="12">
        <f>'Model'!F70</f>
        <v/>
      </c>
      <c r="G215" s="12">
        <f>'Model'!G70</f>
        <v/>
      </c>
      <c r="H215" s="12">
        <f>'Model'!H70</f>
        <v/>
      </c>
      <c r="I215" s="59">
        <f>I209+I206+I212+I213</f>
        <v/>
      </c>
      <c r="J215" s="47">
        <f>J209+J206+J212+J213</f>
        <v/>
      </c>
      <c r="K215" s="47">
        <f>K209+K206+K212+K213</f>
        <v/>
      </c>
      <c r="L215" s="47">
        <f>L209+L206+L212+L213</f>
        <v/>
      </c>
      <c r="M215" s="47">
        <f>M209+M206+M212+M213</f>
        <v/>
      </c>
      <c r="N215" s="47">
        <f>N209+N206+N212+N213</f>
        <v/>
      </c>
      <c r="O215" s="47">
        <f>O209+O206+O212+O213</f>
        <v/>
      </c>
      <c r="P215" s="47">
        <f>P209+P206+P212+P213</f>
        <v/>
      </c>
      <c r="Q215" s="47">
        <f>Q209+Q206+Q212+Q213</f>
        <v/>
      </c>
      <c r="R215" s="47">
        <f>R209+R206+R212+R213</f>
        <v/>
      </c>
    </row>
    <row r="216">
      <c r="B216" s="6" t="inlineStr">
        <is>
          <t>Net debt, end of year</t>
        </is>
      </c>
      <c r="C216" s="7" t="inlineStr">
        <is>
          <t>$mm</t>
        </is>
      </c>
      <c r="F216" s="62">
        <f>'Model'!F71</f>
        <v/>
      </c>
      <c r="G216" s="62">
        <f>'Model'!G71</f>
        <v/>
      </c>
      <c r="H216" s="62">
        <f>'Model'!H71</f>
        <v/>
      </c>
      <c r="I216" s="61">
        <f>I211-I215</f>
        <v/>
      </c>
      <c r="J216" s="56">
        <f>J211-J215</f>
        <v/>
      </c>
      <c r="K216" s="56">
        <f>K211-K215</f>
        <v/>
      </c>
      <c r="L216" s="56">
        <f>L211-L215</f>
        <v/>
      </c>
      <c r="M216" s="56">
        <f>M211-M215</f>
        <v/>
      </c>
      <c r="N216" s="56">
        <f>N211-N215</f>
        <v/>
      </c>
      <c r="O216" s="56">
        <f>O211-O215</f>
        <v/>
      </c>
      <c r="P216" s="56">
        <f>P211-P215</f>
        <v/>
      </c>
      <c r="Q216" s="56">
        <f>Q211-Q215</f>
        <v/>
      </c>
      <c r="R216" s="56">
        <f>R211-R215</f>
        <v/>
      </c>
    </row>
    <row r="217">
      <c r="B217" s="30" t="inlineStr">
        <is>
          <t>Net debt / EBITDA</t>
        </is>
      </c>
      <c r="C217" s="7" t="inlineStr">
        <is>
          <t>x</t>
        </is>
      </c>
      <c r="F217" s="108">
        <f>'Model'!F72</f>
        <v/>
      </c>
      <c r="G217" s="108">
        <f>'Model'!G72</f>
        <v/>
      </c>
      <c r="H217" s="108">
        <f>'Model'!H72</f>
        <v/>
      </c>
      <c r="I217" s="89">
        <f>I216/(I178+I200)</f>
        <v/>
      </c>
      <c r="J217" s="88">
        <f>J216/(J178+J200)</f>
        <v/>
      </c>
      <c r="K217" s="88">
        <f>K216/(K178+K200)</f>
        <v/>
      </c>
      <c r="L217" s="88">
        <f>L216/(L178+L200)</f>
        <v/>
      </c>
      <c r="M217" s="88">
        <f>M216/(M178+M200)</f>
        <v/>
      </c>
      <c r="N217" s="88">
        <f>N216/(N178+N200)</f>
        <v/>
      </c>
      <c r="O217" s="88">
        <f>O216/(O178+O200)</f>
        <v/>
      </c>
      <c r="P217" s="88">
        <f>P216/(P178+P200)</f>
        <v/>
      </c>
      <c r="Q217" s="88">
        <f>Q216/(Q178+Q200)</f>
        <v/>
      </c>
      <c r="R217" s="88">
        <f>R216/(R178+R200)</f>
        <v/>
      </c>
    </row>
    <row r="218">
      <c r="B218" s="10" t="inlineStr">
        <is>
          <t>Diluted shares, end of year</t>
        </is>
      </c>
      <c r="C218" s="7" t="inlineStr">
        <is>
          <t>mm</t>
        </is>
      </c>
      <c r="F218" s="11">
        <f>'Model'!F73</f>
        <v/>
      </c>
      <c r="G218" s="11">
        <f>'Model'!G73</f>
        <v/>
      </c>
      <c r="H218" s="11">
        <f>'Model'!H73</f>
        <v/>
      </c>
      <c r="I218" s="35">
        <f>H218*(1+'Drivers'!$D$33)+I213/I214</f>
        <v/>
      </c>
      <c r="J218" s="11">
        <f>I218*(1+'Drivers'!$D$33)+J213/J214</f>
        <v/>
      </c>
      <c r="K218" s="11">
        <f>J218*(1+'Drivers'!$D$33)+K213/K214</f>
        <v/>
      </c>
      <c r="L218" s="11">
        <f>K218*(1+'Drivers'!$D$33)+L213/L214</f>
        <v/>
      </c>
      <c r="M218" s="11">
        <f>L218*(1+'Drivers'!$D$33)+M213/M214</f>
        <v/>
      </c>
      <c r="N218" s="11">
        <f>M218*(1+'Drivers'!$D$33)+N213/N214</f>
        <v/>
      </c>
      <c r="O218" s="11">
        <f>N218*(1+'Drivers'!$D$33)+O213/O214</f>
        <v/>
      </c>
      <c r="P218" s="11">
        <f>O218*(1+'Drivers'!$D$33)+P213/P214</f>
        <v/>
      </c>
      <c r="Q218" s="11">
        <f>P218*(1+'Drivers'!$D$33)+Q213/Q214</f>
        <v/>
      </c>
      <c r="R218" s="11">
        <f>Q218*(1+'Drivers'!$D$33)+R213/R214</f>
        <v/>
      </c>
    </row>
    <row r="219">
      <c r="B219" s="30" t="inlineStr">
        <is>
          <t>net share reduction</t>
        </is>
      </c>
      <c r="C219" s="7" t="inlineStr">
        <is>
          <t>%</t>
        </is>
      </c>
      <c r="G219" s="77">
        <f>'Model'!G74</f>
        <v/>
      </c>
      <c r="H219" s="77">
        <f>'Model'!H74</f>
        <v/>
      </c>
      <c r="I219" s="64">
        <f>1-I218/H218</f>
        <v/>
      </c>
      <c r="J219" s="60">
        <f>1-J218/I218</f>
        <v/>
      </c>
      <c r="K219" s="60">
        <f>1-K218/J218</f>
        <v/>
      </c>
      <c r="L219" s="60">
        <f>1-L218/K218</f>
        <v/>
      </c>
      <c r="M219" s="60">
        <f>1-M218/L218</f>
        <v/>
      </c>
      <c r="N219" s="60">
        <f>1-N218/M218</f>
        <v/>
      </c>
      <c r="O219" s="60">
        <f>1-O218/N218</f>
        <v/>
      </c>
      <c r="P219" s="60">
        <f>1-P218/O218</f>
        <v/>
      </c>
      <c r="Q219" s="60">
        <f>1-Q218/P218</f>
        <v/>
      </c>
      <c r="R219" s="60">
        <f>1-R218/Q218</f>
        <v/>
      </c>
    </row>
    <row r="220">
      <c r="B220" s="2" t="inlineStr">
        <is>
          <t>Content obligations, year end (memo)</t>
        </is>
      </c>
      <c r="C220" s="7" t="inlineStr">
        <is>
          <t>$mm</t>
        </is>
      </c>
      <c r="F220" s="79">
        <f>'Model'!F75</f>
        <v/>
      </c>
      <c r="G220" s="79">
        <f>'Model'!G75</f>
        <v/>
      </c>
      <c r="H220" s="79">
        <f>'Model'!H75</f>
        <v/>
      </c>
      <c r="I220" s="65" t="n"/>
    </row>
    <row r="222">
      <c r="B222" s="4" t="inlineStr">
        <is>
          <t>DISCOUNTED CASH FLOW  |  BASE CASE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B223" s="26" t="inlineStr">
        <is>
          <t>Fiscal year (calendar)</t>
        </is>
      </c>
      <c r="C223" s="18" t="n"/>
      <c r="D223" s="18" t="n"/>
      <c r="E223" s="18" t="n"/>
      <c r="F223" s="27" t="n">
        <v>2023</v>
      </c>
      <c r="G223" s="27" t="n">
        <v>2024</v>
      </c>
      <c r="H223" s="27" t="n">
        <v>2025</v>
      </c>
      <c r="I223" s="75" t="n">
        <v>2026</v>
      </c>
      <c r="J223" s="28" t="n">
        <v>2027</v>
      </c>
      <c r="K223" s="28" t="n">
        <v>2028</v>
      </c>
      <c r="L223" s="28" t="n">
        <v>2029</v>
      </c>
      <c r="M223" s="28" t="n">
        <v>2030</v>
      </c>
      <c r="N223" s="28" t="n">
        <v>2031</v>
      </c>
      <c r="O223" s="28" t="n">
        <v>2032</v>
      </c>
      <c r="P223" s="28" t="n">
        <v>2033</v>
      </c>
      <c r="Q223" s="28" t="n">
        <v>2034</v>
      </c>
      <c r="R223" s="28" t="n">
        <v>2035</v>
      </c>
    </row>
    <row r="224">
      <c r="B224" s="10" t="inlineStr">
        <is>
          <t>Unlevered free cash flow</t>
        </is>
      </c>
      <c r="C224" s="7" t="inlineStr">
        <is>
          <t>$mm</t>
        </is>
      </c>
      <c r="I224" s="59">
        <f>I204</f>
        <v/>
      </c>
      <c r="J224" s="47">
        <f>J204</f>
        <v/>
      </c>
      <c r="K224" s="47">
        <f>K204</f>
        <v/>
      </c>
      <c r="L224" s="47">
        <f>L204</f>
        <v/>
      </c>
      <c r="M224" s="47">
        <f>M204</f>
        <v/>
      </c>
      <c r="N224" s="47">
        <f>N204</f>
        <v/>
      </c>
      <c r="O224" s="47">
        <f>O204</f>
        <v/>
      </c>
      <c r="P224" s="47">
        <f>P204</f>
        <v/>
      </c>
      <c r="Q224" s="47">
        <f>Q204</f>
        <v/>
      </c>
      <c r="R224" s="47">
        <f>R204</f>
        <v/>
      </c>
    </row>
    <row r="225">
      <c r="B225" s="2" t="inlineStr">
        <is>
          <t>Share of the year after the balance-sheet date</t>
        </is>
      </c>
      <c r="C225" s="7" t="inlineStr">
        <is>
          <t>x</t>
        </is>
      </c>
      <c r="I225" s="90">
        <f>('Drivers'!$D$10-'Drivers'!$D$9)/365</f>
        <v/>
      </c>
      <c r="J225" s="91">
        <f>1</f>
        <v/>
      </c>
      <c r="K225" s="91">
        <f>1</f>
        <v/>
      </c>
      <c r="L225" s="91">
        <f>1</f>
        <v/>
      </c>
      <c r="M225" s="91">
        <f>1</f>
        <v/>
      </c>
      <c r="N225" s="91">
        <f>1</f>
        <v/>
      </c>
      <c r="O225" s="91">
        <f>1</f>
        <v/>
      </c>
      <c r="P225" s="91">
        <f>1</f>
        <v/>
      </c>
      <c r="Q225" s="91">
        <f>1</f>
        <v/>
      </c>
      <c r="R225" s="91">
        <f>1</f>
        <v/>
      </c>
    </row>
    <row r="226">
      <c r="B226" s="10" t="inlineStr">
        <is>
          <t>Cash flow counted</t>
        </is>
      </c>
      <c r="C226" s="7" t="inlineStr">
        <is>
          <t>$mm</t>
        </is>
      </c>
      <c r="I226" s="59">
        <f>I224*I225</f>
        <v/>
      </c>
      <c r="J226" s="47">
        <f>J224*J225</f>
        <v/>
      </c>
      <c r="K226" s="47">
        <f>K224*K225</f>
        <v/>
      </c>
      <c r="L226" s="47">
        <f>L224*L225</f>
        <v/>
      </c>
      <c r="M226" s="47">
        <f>M224*M225</f>
        <v/>
      </c>
      <c r="N226" s="47">
        <f>N224*N225</f>
        <v/>
      </c>
      <c r="O226" s="47">
        <f>O224*O225</f>
        <v/>
      </c>
      <c r="P226" s="47">
        <f>P224*P225</f>
        <v/>
      </c>
      <c r="Q226" s="47">
        <f>Q224*Q225</f>
        <v/>
      </c>
      <c r="R226" s="47">
        <f>R224*R225</f>
        <v/>
      </c>
    </row>
    <row r="227">
      <c r="B227" s="2" t="inlineStr">
        <is>
          <t>Discount period, mid-period</t>
        </is>
      </c>
      <c r="C227" s="7" t="inlineStr">
        <is>
          <t>yrs</t>
        </is>
      </c>
      <c r="I227" s="90">
        <f>(('Drivers'!$D$10-'Drivers'!$D$9)/2+('Drivers'!$D$9-'Drivers'!$D$8))/365</f>
        <v/>
      </c>
      <c r="J227" s="92">
        <f>('Drivers'!$D$10-'Drivers'!$D$8)/365+0.5</f>
        <v/>
      </c>
      <c r="K227" s="91">
        <f>J227+1</f>
        <v/>
      </c>
      <c r="L227" s="91">
        <f>K227+1</f>
        <v/>
      </c>
      <c r="M227" s="91">
        <f>L227+1</f>
        <v/>
      </c>
      <c r="N227" s="91">
        <f>M227+1</f>
        <v/>
      </c>
      <c r="O227" s="91">
        <f>N227+1</f>
        <v/>
      </c>
      <c r="P227" s="91">
        <f>O227+1</f>
        <v/>
      </c>
      <c r="Q227" s="91">
        <f>P227+1</f>
        <v/>
      </c>
      <c r="R227" s="91">
        <f>Q227+1</f>
        <v/>
      </c>
    </row>
    <row r="228">
      <c r="B228" s="2" t="inlineStr">
        <is>
          <t>Discount factor</t>
        </is>
      </c>
      <c r="C228" s="7" t="inlineStr">
        <is>
          <t>x</t>
        </is>
      </c>
      <c r="I228" s="90">
        <f>1/(1+'Drivers'!$D$29)^I227</f>
        <v/>
      </c>
      <c r="J228" s="92">
        <f>1/(1+'Drivers'!$D$29)^J227</f>
        <v/>
      </c>
      <c r="K228" s="92">
        <f>1/(1+'Drivers'!$D$29)^K227</f>
        <v/>
      </c>
      <c r="L228" s="92">
        <f>1/(1+'Drivers'!$D$29)^L227</f>
        <v/>
      </c>
      <c r="M228" s="92">
        <f>1/(1+'Drivers'!$D$29)^M227</f>
        <v/>
      </c>
      <c r="N228" s="92">
        <f>1/(1+'Drivers'!$D$29)^N227</f>
        <v/>
      </c>
      <c r="O228" s="92">
        <f>1/(1+'Drivers'!$D$29)^O227</f>
        <v/>
      </c>
      <c r="P228" s="92">
        <f>1/(1+'Drivers'!$D$29)^P227</f>
        <v/>
      </c>
      <c r="Q228" s="92">
        <f>1/(1+'Drivers'!$D$29)^Q227</f>
        <v/>
      </c>
      <c r="R228" s="92">
        <f>1/(1+'Drivers'!$D$29)^R227</f>
        <v/>
      </c>
    </row>
    <row r="229">
      <c r="B229" s="10" t="inlineStr">
        <is>
          <t>Present value</t>
        </is>
      </c>
      <c r="C229" s="7" t="inlineStr">
        <is>
          <t>$mm</t>
        </is>
      </c>
      <c r="I229" s="59">
        <f>I226*I228</f>
        <v/>
      </c>
      <c r="J229" s="47">
        <f>J226*J228</f>
        <v/>
      </c>
      <c r="K229" s="47">
        <f>K226*K228</f>
        <v/>
      </c>
      <c r="L229" s="47">
        <f>L226*L228</f>
        <v/>
      </c>
      <c r="M229" s="47">
        <f>M226*M228</f>
        <v/>
      </c>
      <c r="N229" s="47">
        <f>N226*N228</f>
        <v/>
      </c>
      <c r="O229" s="47">
        <f>O226*O228</f>
        <v/>
      </c>
      <c r="P229" s="47">
        <f>P226*P228</f>
        <v/>
      </c>
      <c r="Q229" s="47">
        <f>Q226*Q228</f>
        <v/>
      </c>
      <c r="R229" s="47">
        <f>R226*R228</f>
        <v/>
      </c>
    </row>
    <row r="231">
      <c r="B231" s="10" t="inlineStr">
        <is>
          <t>PV of forecast cash flows</t>
        </is>
      </c>
      <c r="C231" s="7" t="inlineStr">
        <is>
          <t>$mm</t>
        </is>
      </c>
      <c r="D231" s="47">
        <f>SUM(I229:R229)</f>
        <v/>
      </c>
    </row>
    <row r="232">
      <c r="B232" s="10" t="inlineStr">
        <is>
          <t>Terminal growth</t>
        </is>
      </c>
      <c r="C232" s="7" t="inlineStr">
        <is>
          <t>%</t>
        </is>
      </c>
      <c r="D232" s="93">
        <f>'Drivers'!$G$44</f>
        <v/>
      </c>
    </row>
    <row r="233">
      <c r="B233" s="10" t="inlineStr">
        <is>
          <t>Terminal value at FY2035</t>
        </is>
      </c>
      <c r="C233" s="7" t="inlineStr">
        <is>
          <t>$mm</t>
        </is>
      </c>
      <c r="D233" s="47">
        <f>R224*(1+D232)/('Drivers'!$D$29-D232)</f>
        <v/>
      </c>
    </row>
    <row r="234">
      <c r="B234" s="10" t="inlineStr">
        <is>
          <t>PV of terminal value</t>
        </is>
      </c>
      <c r="C234" s="7" t="inlineStr">
        <is>
          <t>$mm</t>
        </is>
      </c>
      <c r="D234" s="47">
        <f>D233*R228</f>
        <v/>
      </c>
    </row>
    <row r="235">
      <c r="B235" s="6" t="inlineStr">
        <is>
          <t>Enterprise value</t>
        </is>
      </c>
      <c r="C235" s="7" t="inlineStr">
        <is>
          <t>$mm</t>
        </is>
      </c>
      <c r="D235" s="56">
        <f>D231+D234</f>
        <v/>
      </c>
    </row>
    <row r="236">
      <c r="B236" s="10" t="inlineStr">
        <is>
          <t>Less: net debt at 9/30/2026</t>
        </is>
      </c>
      <c r="C236" s="7" t="inlineStr">
        <is>
          <t>$mm</t>
        </is>
      </c>
      <c r="D236" s="12">
        <f>-'Drivers'!$D$16</f>
        <v/>
      </c>
    </row>
    <row r="237">
      <c r="B237" s="6" t="inlineStr">
        <is>
          <t>Equity value</t>
        </is>
      </c>
      <c r="C237" s="7" t="inlineStr">
        <is>
          <t>$mm</t>
        </is>
      </c>
      <c r="D237" s="46">
        <f>D235+D236</f>
        <v/>
      </c>
    </row>
    <row r="238">
      <c r="B238" s="10" t="inlineStr">
        <is>
          <t>Diluted shares</t>
        </is>
      </c>
      <c r="C238" s="7" t="inlineStr">
        <is>
          <t>mm</t>
        </is>
      </c>
      <c r="D238" s="11">
        <f>'Drivers'!$D$13</f>
        <v/>
      </c>
    </row>
    <row r="239">
      <c r="B239" s="6" t="inlineStr">
        <is>
          <t>DCF value per share</t>
        </is>
      </c>
      <c r="C239" s="7" t="inlineStr">
        <is>
          <t>$</t>
        </is>
      </c>
      <c r="D239" s="94">
        <f>D237/D238</f>
        <v/>
      </c>
    </row>
    <row r="240">
      <c r="B240" s="10" t="inlineStr">
        <is>
          <t>Upside / (downside) to price</t>
        </is>
      </c>
      <c r="C240" s="7" t="inlineStr">
        <is>
          <t>%</t>
        </is>
      </c>
      <c r="D240" s="36">
        <f>D239/'Drivers'!$D$7-1</f>
        <v/>
      </c>
    </row>
    <row r="241">
      <c r="B241" s="10" t="inlineStr">
        <is>
          <t>Terminal value, % of enterprise value</t>
        </is>
      </c>
      <c r="C241" s="7" t="inlineStr">
        <is>
          <t>%</t>
        </is>
      </c>
      <c r="D241" s="36">
        <f>D234/D235</f>
        <v/>
      </c>
    </row>
    <row r="242">
      <c r="B242" s="10" t="inlineStr">
        <is>
          <t>Implied terminal EV / EBITDA</t>
        </is>
      </c>
      <c r="C242" s="7" t="inlineStr">
        <is>
          <t>x</t>
        </is>
      </c>
      <c r="D242" s="55">
        <f>D233/(R178+R200)</f>
        <v/>
      </c>
    </row>
    <row r="243">
      <c r="B243" s="10" t="inlineStr">
        <is>
          <t>P/E at DCF value on FY27E EPS</t>
        </is>
      </c>
      <c r="C243" s="7" t="inlineStr">
        <is>
          <t>x</t>
        </is>
      </c>
      <c r="D243" s="55">
        <f>D239/J192</f>
        <v/>
      </c>
    </row>
    <row r="244">
      <c r="B244" s="10" t="inlineStr">
        <is>
          <t>EV / EBIT today on FY26E</t>
        </is>
      </c>
      <c r="C244" s="7" t="inlineStr">
        <is>
          <t>x</t>
        </is>
      </c>
      <c r="D244" s="55">
        <f>'Drivers'!$D$19/I178</f>
        <v/>
      </c>
    </row>
    <row r="246">
      <c r="B246" s="4" t="inlineStr">
        <is>
          <t>PRICE PATH  |  BASE CASE</t>
        </is>
      </c>
      <c r="C246" s="5" t="n"/>
      <c r="D246" s="5" t="n"/>
      <c r="E246" s="5" t="n"/>
    </row>
    <row r="247">
      <c r="B247" s="10" t="inlineStr">
        <is>
          <t>Exit P/E (NTM)</t>
        </is>
      </c>
      <c r="C247" s="7" t="inlineStr">
        <is>
          <t>x</t>
        </is>
      </c>
      <c r="D247" s="14">
        <f>'Drivers'!$G$45</f>
        <v/>
      </c>
    </row>
    <row r="248">
      <c r="B248" s="10" t="inlineStr">
        <is>
          <t>Years to exit 1 (end of 2028)</t>
        </is>
      </c>
      <c r="C248" s="7" t="inlineStr">
        <is>
          <t>yrs</t>
        </is>
      </c>
      <c r="D248" s="95">
        <f>('Drivers'!$D$11-'Drivers'!$D$8)/365</f>
        <v/>
      </c>
    </row>
    <row r="249">
      <c r="B249" s="10" t="inlineStr">
        <is>
          <t>FY29E EPS</t>
        </is>
      </c>
      <c r="C249" s="7" t="inlineStr">
        <is>
          <t>$</t>
        </is>
      </c>
      <c r="D249" s="100">
        <f>L192</f>
        <v/>
      </c>
    </row>
    <row r="250">
      <c r="B250" s="6" t="inlineStr">
        <is>
          <t>Price at the end of 2028</t>
        </is>
      </c>
      <c r="C250" s="7" t="inlineStr">
        <is>
          <t>$</t>
        </is>
      </c>
      <c r="D250" s="94">
        <f>D247*D249</f>
        <v/>
      </c>
    </row>
    <row r="251">
      <c r="B251" s="10" t="inlineStr">
        <is>
          <t>Price at exit / price today</t>
        </is>
      </c>
      <c r="C251" s="7" t="inlineStr">
        <is>
          <t>x</t>
        </is>
      </c>
      <c r="D251" s="96">
        <f>D250/'Drivers'!$D$7</f>
        <v/>
      </c>
    </row>
    <row r="252">
      <c r="B252" s="6" t="inlineStr">
        <is>
          <t>IRR to the end of 2028</t>
        </is>
      </c>
      <c r="C252" s="7" t="inlineStr">
        <is>
          <t>%</t>
        </is>
      </c>
      <c r="D252" s="97">
        <f>D251^(1/D248)-1</f>
        <v/>
      </c>
    </row>
    <row r="253">
      <c r="B253" s="6" t="inlineStr">
        <is>
          <t>Entry price for the hurdle IRR to exit 1</t>
        </is>
      </c>
      <c r="C253" s="7" t="inlineStr">
        <is>
          <t>$</t>
        </is>
      </c>
      <c r="D253" s="94">
        <f>D250/(1+'Drivers'!$D$36)^D248</f>
        <v/>
      </c>
    </row>
    <row r="254">
      <c r="B254" s="10" t="inlineStr">
        <is>
          <t>Years to exit 2 (end of 2029)</t>
        </is>
      </c>
      <c r="C254" s="7" t="inlineStr">
        <is>
          <t>yrs</t>
        </is>
      </c>
      <c r="D254" s="95">
        <f>('Drivers'!$D$12-'Drivers'!$D$8)/365</f>
        <v/>
      </c>
    </row>
    <row r="255">
      <c r="B255" s="10" t="inlineStr">
        <is>
          <t>FY30E EPS</t>
        </is>
      </c>
      <c r="C255" s="7" t="inlineStr">
        <is>
          <t>$</t>
        </is>
      </c>
      <c r="D255" s="100">
        <f>M192</f>
        <v/>
      </c>
    </row>
    <row r="256">
      <c r="B256" s="6" t="inlineStr">
        <is>
          <t>Price at the end of 2029</t>
        </is>
      </c>
      <c r="C256" s="7" t="inlineStr">
        <is>
          <t>$</t>
        </is>
      </c>
      <c r="D256" s="94">
        <f>D247*D255</f>
        <v/>
      </c>
    </row>
    <row r="257">
      <c r="B257" s="6" t="inlineStr">
        <is>
          <t>IRR to the end of 2029</t>
        </is>
      </c>
      <c r="C257" s="7" t="inlineStr">
        <is>
          <t>%</t>
        </is>
      </c>
      <c r="D257" s="97">
        <f>(D256/'Drivers'!$D$7)^(1/D254)-1</f>
        <v/>
      </c>
    </row>
    <row r="260">
      <c r="B260" s="105" t="inlineStr">
        <is>
          <t>BULL CASE</t>
        </is>
      </c>
      <c r="C260" s="106" t="n"/>
      <c r="D260" s="106" t="n"/>
      <c r="E260" s="106" t="n"/>
      <c r="F260" s="106" t="n"/>
      <c r="G260" s="106" t="n"/>
      <c r="H260" s="106" t="n"/>
      <c r="I260" s="106" t="n"/>
      <c r="J260" s="106" t="n"/>
      <c r="K260" s="106" t="n"/>
      <c r="L260" s="106" t="n"/>
      <c r="M260" s="106" t="n"/>
      <c r="N260" s="106" t="n"/>
      <c r="O260" s="106" t="n"/>
      <c r="P260" s="106" t="n"/>
      <c r="Q260" s="106" t="n"/>
      <c r="R260" s="106" t="n"/>
    </row>
    <row r="262">
      <c r="B262" s="4" t="inlineStr">
        <is>
          <t>REVENUE  |  BULL CASE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</row>
    <row r="263">
      <c r="B263" s="26" t="inlineStr">
        <is>
          <t>Fiscal year (calendar)</t>
        </is>
      </c>
      <c r="C263" s="18" t="n"/>
      <c r="D263" s="18" t="n"/>
      <c r="E263" s="18" t="n"/>
      <c r="F263" s="27" t="n">
        <v>2023</v>
      </c>
      <c r="G263" s="27" t="n">
        <v>2024</v>
      </c>
      <c r="H263" s="27" t="n">
        <v>2025</v>
      </c>
      <c r="I263" s="75" t="n">
        <v>2026</v>
      </c>
      <c r="J263" s="28" t="n">
        <v>2027</v>
      </c>
      <c r="K263" s="28" t="n">
        <v>2028</v>
      </c>
      <c r="L263" s="28" t="n">
        <v>2029</v>
      </c>
      <c r="M263" s="28" t="n">
        <v>2030</v>
      </c>
      <c r="N263" s="28" t="n">
        <v>2031</v>
      </c>
      <c r="O263" s="28" t="n">
        <v>2032</v>
      </c>
      <c r="P263" s="28" t="n">
        <v>2033</v>
      </c>
      <c r="Q263" s="28" t="n">
        <v>2034</v>
      </c>
      <c r="R263" s="28" t="n">
        <v>2035</v>
      </c>
    </row>
    <row r="264">
      <c r="B264" s="10" t="inlineStr">
        <is>
          <t>United States and Canada</t>
        </is>
      </c>
      <c r="C264" s="7" t="inlineStr">
        <is>
          <t>$mm</t>
        </is>
      </c>
      <c r="F264" s="12">
        <f>'Model'!F7</f>
        <v/>
      </c>
      <c r="G264" s="12">
        <f>'Model'!G7</f>
        <v/>
      </c>
      <c r="H264" s="12">
        <f>'Model'!H7</f>
        <v/>
      </c>
      <c r="I264" s="59">
        <f>H264*(1+I265)</f>
        <v/>
      </c>
      <c r="J264" s="47">
        <f>I264*(1+J265)</f>
        <v/>
      </c>
      <c r="K264" s="47">
        <f>J264*(1+K265)</f>
        <v/>
      </c>
      <c r="L264" s="47">
        <f>K264*(1+L265)</f>
        <v/>
      </c>
      <c r="M264" s="47">
        <f>L264*(1+M265)</f>
        <v/>
      </c>
      <c r="N264" s="47">
        <f>M264*(1+N265)</f>
        <v/>
      </c>
      <c r="O264" s="47">
        <f>N264*(1+O265)</f>
        <v/>
      </c>
      <c r="P264" s="47">
        <f>O264*(1+P265)</f>
        <v/>
      </c>
      <c r="Q264" s="47">
        <f>P264*(1+Q265)</f>
        <v/>
      </c>
      <c r="R264" s="47">
        <f>Q264*(1+R265)</f>
        <v/>
      </c>
    </row>
    <row r="265">
      <c r="B265" s="30" t="inlineStr">
        <is>
          <t>y/y</t>
        </is>
      </c>
      <c r="C265" s="7" t="inlineStr">
        <is>
          <t>%</t>
        </is>
      </c>
      <c r="G265" s="77">
        <f>'Model'!G8</f>
        <v/>
      </c>
      <c r="H265" s="77">
        <f>'Model'!H8</f>
        <v/>
      </c>
      <c r="I265" s="76">
        <f>'Drivers'!I$71</f>
        <v/>
      </c>
      <c r="J265" s="77">
        <f>'Drivers'!J$71</f>
        <v/>
      </c>
      <c r="K265" s="77">
        <f>'Drivers'!K$71</f>
        <v/>
      </c>
      <c r="L265" s="77">
        <f>'Drivers'!L$71</f>
        <v/>
      </c>
      <c r="M265" s="77">
        <f>'Drivers'!M$71</f>
        <v/>
      </c>
      <c r="N265" s="77">
        <f>'Drivers'!N$71</f>
        <v/>
      </c>
      <c r="O265" s="77">
        <f>'Drivers'!O$71</f>
        <v/>
      </c>
      <c r="P265" s="77">
        <f>'Drivers'!P$71</f>
        <v/>
      </c>
      <c r="Q265" s="77">
        <f>'Drivers'!Q$71</f>
        <v/>
      </c>
      <c r="R265" s="77">
        <f>'Drivers'!R$71</f>
        <v/>
      </c>
    </row>
    <row r="266">
      <c r="B266" s="10" t="inlineStr">
        <is>
          <t>Europe, Middle East and Africa</t>
        </is>
      </c>
      <c r="C266" s="7" t="inlineStr">
        <is>
          <t>$mm</t>
        </is>
      </c>
      <c r="F266" s="12">
        <f>'Model'!F9</f>
        <v/>
      </c>
      <c r="G266" s="12">
        <f>'Model'!G9</f>
        <v/>
      </c>
      <c r="H266" s="12">
        <f>'Model'!H9</f>
        <v/>
      </c>
      <c r="I266" s="59">
        <f>H266*(1+I267)</f>
        <v/>
      </c>
      <c r="J266" s="47">
        <f>I266*(1+J267)</f>
        <v/>
      </c>
      <c r="K266" s="47">
        <f>J266*(1+K267)</f>
        <v/>
      </c>
      <c r="L266" s="47">
        <f>K266*(1+L267)</f>
        <v/>
      </c>
      <c r="M266" s="47">
        <f>L266*(1+M267)</f>
        <v/>
      </c>
      <c r="N266" s="47">
        <f>M266*(1+N267)</f>
        <v/>
      </c>
      <c r="O266" s="47">
        <f>N266*(1+O267)</f>
        <v/>
      </c>
      <c r="P266" s="47">
        <f>O266*(1+P267)</f>
        <v/>
      </c>
      <c r="Q266" s="47">
        <f>P266*(1+Q267)</f>
        <v/>
      </c>
      <c r="R266" s="47">
        <f>Q266*(1+R267)</f>
        <v/>
      </c>
    </row>
    <row r="267">
      <c r="B267" s="30" t="inlineStr">
        <is>
          <t>y/y</t>
        </is>
      </c>
      <c r="C267" s="7" t="inlineStr">
        <is>
          <t>%</t>
        </is>
      </c>
      <c r="G267" s="77">
        <f>'Model'!G10</f>
        <v/>
      </c>
      <c r="H267" s="77">
        <f>'Model'!H10</f>
        <v/>
      </c>
      <c r="I267" s="76">
        <f>'Drivers'!I$74</f>
        <v/>
      </c>
      <c r="J267" s="77">
        <f>'Drivers'!J$74</f>
        <v/>
      </c>
      <c r="K267" s="77">
        <f>'Drivers'!K$74</f>
        <v/>
      </c>
      <c r="L267" s="77">
        <f>'Drivers'!L$74</f>
        <v/>
      </c>
      <c r="M267" s="77">
        <f>'Drivers'!M$74</f>
        <v/>
      </c>
      <c r="N267" s="77">
        <f>'Drivers'!N$74</f>
        <v/>
      </c>
      <c r="O267" s="77">
        <f>'Drivers'!O$74</f>
        <v/>
      </c>
      <c r="P267" s="77">
        <f>'Drivers'!P$74</f>
        <v/>
      </c>
      <c r="Q267" s="77">
        <f>'Drivers'!Q$74</f>
        <v/>
      </c>
      <c r="R267" s="77">
        <f>'Drivers'!R$74</f>
        <v/>
      </c>
    </row>
    <row r="268">
      <c r="B268" s="10" t="inlineStr">
        <is>
          <t>Latin America</t>
        </is>
      </c>
      <c r="C268" s="7" t="inlineStr">
        <is>
          <t>$mm</t>
        </is>
      </c>
      <c r="F268" s="12">
        <f>'Model'!F11</f>
        <v/>
      </c>
      <c r="G268" s="12">
        <f>'Model'!G11</f>
        <v/>
      </c>
      <c r="H268" s="12">
        <f>'Model'!H11</f>
        <v/>
      </c>
      <c r="I268" s="59">
        <f>H268*(1+I269)</f>
        <v/>
      </c>
      <c r="J268" s="47">
        <f>I268*(1+J269)</f>
        <v/>
      </c>
      <c r="K268" s="47">
        <f>J268*(1+K269)</f>
        <v/>
      </c>
      <c r="L268" s="47">
        <f>K268*(1+L269)</f>
        <v/>
      </c>
      <c r="M268" s="47">
        <f>L268*(1+M269)</f>
        <v/>
      </c>
      <c r="N268" s="47">
        <f>M268*(1+N269)</f>
        <v/>
      </c>
      <c r="O268" s="47">
        <f>N268*(1+O269)</f>
        <v/>
      </c>
      <c r="P268" s="47">
        <f>O268*(1+P269)</f>
        <v/>
      </c>
      <c r="Q268" s="47">
        <f>P268*(1+Q269)</f>
        <v/>
      </c>
      <c r="R268" s="47">
        <f>Q268*(1+R269)</f>
        <v/>
      </c>
    </row>
    <row r="269">
      <c r="B269" s="30" t="inlineStr">
        <is>
          <t>y/y</t>
        </is>
      </c>
      <c r="C269" s="7" t="inlineStr">
        <is>
          <t>%</t>
        </is>
      </c>
      <c r="G269" s="77">
        <f>'Model'!G12</f>
        <v/>
      </c>
      <c r="H269" s="77">
        <f>'Model'!H12</f>
        <v/>
      </c>
      <c r="I269" s="76">
        <f>'Drivers'!I$77</f>
        <v/>
      </c>
      <c r="J269" s="77">
        <f>'Drivers'!J$77</f>
        <v/>
      </c>
      <c r="K269" s="77">
        <f>'Drivers'!K$77</f>
        <v/>
      </c>
      <c r="L269" s="77">
        <f>'Drivers'!L$77</f>
        <v/>
      </c>
      <c r="M269" s="77">
        <f>'Drivers'!M$77</f>
        <v/>
      </c>
      <c r="N269" s="77">
        <f>'Drivers'!N$77</f>
        <v/>
      </c>
      <c r="O269" s="77">
        <f>'Drivers'!O$77</f>
        <v/>
      </c>
      <c r="P269" s="77">
        <f>'Drivers'!P$77</f>
        <v/>
      </c>
      <c r="Q269" s="77">
        <f>'Drivers'!Q$77</f>
        <v/>
      </c>
      <c r="R269" s="77">
        <f>'Drivers'!R$77</f>
        <v/>
      </c>
    </row>
    <row r="270">
      <c r="B270" s="10" t="inlineStr">
        <is>
          <t>Asia-Pacific</t>
        </is>
      </c>
      <c r="C270" s="7" t="inlineStr">
        <is>
          <t>$mm</t>
        </is>
      </c>
      <c r="F270" s="12">
        <f>'Model'!F13</f>
        <v/>
      </c>
      <c r="G270" s="12">
        <f>'Model'!G13</f>
        <v/>
      </c>
      <c r="H270" s="12">
        <f>'Model'!H13</f>
        <v/>
      </c>
      <c r="I270" s="59">
        <f>H270*(1+I271)</f>
        <v/>
      </c>
      <c r="J270" s="47">
        <f>I270*(1+J271)</f>
        <v/>
      </c>
      <c r="K270" s="47">
        <f>J270*(1+K271)</f>
        <v/>
      </c>
      <c r="L270" s="47">
        <f>K270*(1+L271)</f>
        <v/>
      </c>
      <c r="M270" s="47">
        <f>L270*(1+M271)</f>
        <v/>
      </c>
      <c r="N270" s="47">
        <f>M270*(1+N271)</f>
        <v/>
      </c>
      <c r="O270" s="47">
        <f>N270*(1+O271)</f>
        <v/>
      </c>
      <c r="P270" s="47">
        <f>O270*(1+P271)</f>
        <v/>
      </c>
      <c r="Q270" s="47">
        <f>P270*(1+Q271)</f>
        <v/>
      </c>
      <c r="R270" s="47">
        <f>Q270*(1+R271)</f>
        <v/>
      </c>
    </row>
    <row r="271">
      <c r="B271" s="30" t="inlineStr">
        <is>
          <t>y/y</t>
        </is>
      </c>
      <c r="C271" s="7" t="inlineStr">
        <is>
          <t>%</t>
        </is>
      </c>
      <c r="G271" s="77">
        <f>'Model'!G14</f>
        <v/>
      </c>
      <c r="H271" s="77">
        <f>'Model'!H14</f>
        <v/>
      </c>
      <c r="I271" s="76">
        <f>'Drivers'!I$80</f>
        <v/>
      </c>
      <c r="J271" s="77">
        <f>'Drivers'!J$80</f>
        <v/>
      </c>
      <c r="K271" s="77">
        <f>'Drivers'!K$80</f>
        <v/>
      </c>
      <c r="L271" s="77">
        <f>'Drivers'!L$80</f>
        <v/>
      </c>
      <c r="M271" s="77">
        <f>'Drivers'!M$80</f>
        <v/>
      </c>
      <c r="N271" s="77">
        <f>'Drivers'!N$80</f>
        <v/>
      </c>
      <c r="O271" s="77">
        <f>'Drivers'!O$80</f>
        <v/>
      </c>
      <c r="P271" s="77">
        <f>'Drivers'!P$80</f>
        <v/>
      </c>
      <c r="Q271" s="77">
        <f>'Drivers'!Q$80</f>
        <v/>
      </c>
      <c r="R271" s="77">
        <f>'Drivers'!R$80</f>
        <v/>
      </c>
    </row>
    <row r="272">
      <c r="B272" s="10" t="inlineStr">
        <is>
          <t>DVD (wound down 2023)</t>
        </is>
      </c>
      <c r="C272" s="7" t="inlineStr">
        <is>
          <t>$mm</t>
        </is>
      </c>
      <c r="F272" s="12">
        <f>'Model'!F15</f>
        <v/>
      </c>
      <c r="G272" s="12">
        <f>'Model'!G15</f>
        <v/>
      </c>
      <c r="H272" s="12">
        <f>'Model'!H15</f>
        <v/>
      </c>
      <c r="I272" s="59">
        <f>0</f>
        <v/>
      </c>
      <c r="J272" s="47">
        <f>0</f>
        <v/>
      </c>
      <c r="K272" s="47">
        <f>0</f>
        <v/>
      </c>
      <c r="L272" s="47">
        <f>0</f>
        <v/>
      </c>
      <c r="M272" s="47">
        <f>0</f>
        <v/>
      </c>
      <c r="N272" s="47">
        <f>0</f>
        <v/>
      </c>
      <c r="O272" s="47">
        <f>0</f>
        <v/>
      </c>
      <c r="P272" s="47">
        <f>0</f>
        <v/>
      </c>
      <c r="Q272" s="47">
        <f>0</f>
        <v/>
      </c>
      <c r="R272" s="47">
        <f>0</f>
        <v/>
      </c>
    </row>
    <row r="273">
      <c r="B273" s="6" t="inlineStr">
        <is>
          <t>Total revenue</t>
        </is>
      </c>
      <c r="C273" s="7" t="inlineStr">
        <is>
          <t>$mm</t>
        </is>
      </c>
      <c r="F273" s="62">
        <f>'Model'!F16</f>
        <v/>
      </c>
      <c r="G273" s="62">
        <f>'Model'!G16</f>
        <v/>
      </c>
      <c r="H273" s="62">
        <f>'Model'!H16</f>
        <v/>
      </c>
      <c r="I273" s="61">
        <f>I264+I266+I268+I270+I272</f>
        <v/>
      </c>
      <c r="J273" s="56">
        <f>J264+J266+J268+J270+J272</f>
        <v/>
      </c>
      <c r="K273" s="56">
        <f>K264+K266+K268+K270+K272</f>
        <v/>
      </c>
      <c r="L273" s="56">
        <f>L264+L266+L268+L270+L272</f>
        <v/>
      </c>
      <c r="M273" s="56">
        <f>M264+M266+M268+M270+M272</f>
        <v/>
      </c>
      <c r="N273" s="56">
        <f>N264+N266+N268+N270+N272</f>
        <v/>
      </c>
      <c r="O273" s="56">
        <f>O264+O266+O268+O270+O272</f>
        <v/>
      </c>
      <c r="P273" s="56">
        <f>P264+P266+P268+P270+P272</f>
        <v/>
      </c>
      <c r="Q273" s="56">
        <f>Q264+Q266+Q268+Q270+Q272</f>
        <v/>
      </c>
      <c r="R273" s="56">
        <f>R264+R266+R268+R270+R272</f>
        <v/>
      </c>
    </row>
    <row r="274">
      <c r="B274" s="30" t="inlineStr">
        <is>
          <t>y/y</t>
        </is>
      </c>
      <c r="C274" s="7" t="inlineStr">
        <is>
          <t>%</t>
        </is>
      </c>
      <c r="G274" s="77">
        <f>'Model'!G17</f>
        <v/>
      </c>
      <c r="H274" s="77">
        <f>'Model'!H17</f>
        <v/>
      </c>
      <c r="I274" s="64">
        <f>I273/H273-1</f>
        <v/>
      </c>
      <c r="J274" s="60">
        <f>J273/I273-1</f>
        <v/>
      </c>
      <c r="K274" s="60">
        <f>K273/J273-1</f>
        <v/>
      </c>
      <c r="L274" s="60">
        <f>L273/K273-1</f>
        <v/>
      </c>
      <c r="M274" s="60">
        <f>M273/L273-1</f>
        <v/>
      </c>
      <c r="N274" s="60">
        <f>N273/M273-1</f>
        <v/>
      </c>
      <c r="O274" s="60">
        <f>O273/N273-1</f>
        <v/>
      </c>
      <c r="P274" s="60">
        <f>P273/O273-1</f>
        <v/>
      </c>
      <c r="Q274" s="60">
        <f>Q273/P273-1</f>
        <v/>
      </c>
      <c r="R274" s="60">
        <f>R273/Q273-1</f>
        <v/>
      </c>
    </row>
    <row r="275">
      <c r="B275" s="30" t="inlineStr">
        <is>
          <t>of which advertising (memo)</t>
        </is>
      </c>
      <c r="C275" s="7" t="inlineStr">
        <is>
          <t>$mm</t>
        </is>
      </c>
      <c r="G275" s="79">
        <f>'Model'!G18</f>
        <v/>
      </c>
      <c r="H275" s="79">
        <f>'Model'!H18</f>
        <v/>
      </c>
      <c r="I275" s="78">
        <f>'Drivers'!I$83</f>
        <v/>
      </c>
      <c r="J275" s="79">
        <f>'Drivers'!J$83</f>
        <v/>
      </c>
      <c r="K275" s="79">
        <f>'Drivers'!K$83</f>
        <v/>
      </c>
      <c r="L275" s="79">
        <f>'Drivers'!L$83</f>
        <v/>
      </c>
      <c r="M275" s="79">
        <f>'Drivers'!M$83</f>
        <v/>
      </c>
      <c r="N275" s="79">
        <f>'Drivers'!N$83</f>
        <v/>
      </c>
      <c r="O275" s="79">
        <f>'Drivers'!O$83</f>
        <v/>
      </c>
      <c r="P275" s="79">
        <f>'Drivers'!P$83</f>
        <v/>
      </c>
      <c r="Q275" s="79">
        <f>'Drivers'!Q$83</f>
        <v/>
      </c>
      <c r="R275" s="79">
        <f>'Drivers'!R$83</f>
        <v/>
      </c>
    </row>
    <row r="276">
      <c r="B276" s="30" t="inlineStr">
        <is>
          <t>advertising, % of revenue</t>
        </is>
      </c>
      <c r="C276" s="7" t="inlineStr">
        <is>
          <t>%</t>
        </is>
      </c>
      <c r="G276" s="77">
        <f>'Model'!G19</f>
        <v/>
      </c>
      <c r="H276" s="77">
        <f>'Model'!H19</f>
        <v/>
      </c>
      <c r="I276" s="64">
        <f>I275/I273</f>
        <v/>
      </c>
      <c r="J276" s="60">
        <f>J275/J273</f>
        <v/>
      </c>
      <c r="K276" s="60">
        <f>K275/K273</f>
        <v/>
      </c>
      <c r="L276" s="60">
        <f>L275/L273</f>
        <v/>
      </c>
      <c r="M276" s="60">
        <f>M275/M273</f>
        <v/>
      </c>
      <c r="N276" s="60">
        <f>N275/N273</f>
        <v/>
      </c>
      <c r="O276" s="60">
        <f>O275/O273</f>
        <v/>
      </c>
      <c r="P276" s="60">
        <f>P275/P273</f>
        <v/>
      </c>
      <c r="Q276" s="60">
        <f>Q275/Q273</f>
        <v/>
      </c>
      <c r="R276" s="60">
        <f>R275/R273</f>
        <v/>
      </c>
    </row>
    <row r="277">
      <c r="B277" s="30" t="inlineStr">
        <is>
          <t>subscription and other (memo)</t>
        </is>
      </c>
      <c r="C277" s="7" t="inlineStr">
        <is>
          <t>$mm</t>
        </is>
      </c>
      <c r="G277" s="79">
        <f>'Model'!G20</f>
        <v/>
      </c>
      <c r="H277" s="79">
        <f>'Model'!H20</f>
        <v/>
      </c>
      <c r="I277" s="80">
        <f>I273-I275</f>
        <v/>
      </c>
      <c r="J277" s="67">
        <f>J273-J275</f>
        <v/>
      </c>
      <c r="K277" s="67">
        <f>K273-K275</f>
        <v/>
      </c>
      <c r="L277" s="67">
        <f>L273-L275</f>
        <v/>
      </c>
      <c r="M277" s="67">
        <f>M273-M275</f>
        <v/>
      </c>
      <c r="N277" s="67">
        <f>N273-N275</f>
        <v/>
      </c>
      <c r="O277" s="67">
        <f>O273-O275</f>
        <v/>
      </c>
      <c r="P277" s="67">
        <f>P273-P275</f>
        <v/>
      </c>
      <c r="Q277" s="67">
        <f>Q273-Q275</f>
        <v/>
      </c>
      <c r="R277" s="67">
        <f>R273-R275</f>
        <v/>
      </c>
    </row>
    <row r="278">
      <c r="B278" s="30" t="inlineStr">
        <is>
          <t>y/y</t>
        </is>
      </c>
      <c r="C278" s="7" t="inlineStr">
        <is>
          <t>%</t>
        </is>
      </c>
      <c r="H278" s="77">
        <f>'Model'!H21</f>
        <v/>
      </c>
      <c r="I278" s="64">
        <f>I277/H277-1</f>
        <v/>
      </c>
      <c r="J278" s="60">
        <f>J277/I277-1</f>
        <v/>
      </c>
      <c r="K278" s="60">
        <f>K277/J277-1</f>
        <v/>
      </c>
      <c r="L278" s="60">
        <f>L277/K277-1</f>
        <v/>
      </c>
      <c r="M278" s="60">
        <f>M277/L277-1</f>
        <v/>
      </c>
      <c r="N278" s="60">
        <f>N277/M277-1</f>
        <v/>
      </c>
      <c r="O278" s="60">
        <f>O277/N277-1</f>
        <v/>
      </c>
      <c r="P278" s="60">
        <f>P277/O277-1</f>
        <v/>
      </c>
      <c r="Q278" s="60">
        <f>Q277/P277-1</f>
        <v/>
      </c>
      <c r="R278" s="60">
        <f>R277/Q277-1</f>
        <v/>
      </c>
    </row>
    <row r="279">
      <c r="I279" s="65" t="n"/>
    </row>
    <row r="280">
      <c r="B280" s="4" t="inlineStr">
        <is>
          <t>INCOME STATEMENT</t>
        </is>
      </c>
      <c r="C280" s="5" t="n"/>
      <c r="D280" s="5" t="n"/>
      <c r="E280" s="5" t="n"/>
      <c r="F280" s="5" t="n"/>
      <c r="G280" s="5" t="n"/>
      <c r="H280" s="5" t="n"/>
      <c r="I280" s="66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</row>
    <row r="281">
      <c r="B281" s="10" t="inlineStr">
        <is>
          <t>Content amortization</t>
        </is>
      </c>
      <c r="C281" s="7" t="inlineStr">
        <is>
          <t>$mm</t>
        </is>
      </c>
      <c r="F281" s="12">
        <f>'Model'!F24</f>
        <v/>
      </c>
      <c r="G281" s="12">
        <f>'Model'!G24</f>
        <v/>
      </c>
      <c r="H281" s="12">
        <f>'Model'!H24</f>
        <v/>
      </c>
      <c r="I281" s="59">
        <f>H281*(1+I282)</f>
        <v/>
      </c>
      <c r="J281" s="47">
        <f>I281*(1+J282)</f>
        <v/>
      </c>
      <c r="K281" s="47">
        <f>J281*(1+K282)</f>
        <v/>
      </c>
      <c r="L281" s="47">
        <f>K281*(1+L282)</f>
        <v/>
      </c>
      <c r="M281" s="47">
        <f>L281*(1+M282)</f>
        <v/>
      </c>
      <c r="N281" s="47">
        <f>M281*(1+N282)</f>
        <v/>
      </c>
      <c r="O281" s="47">
        <f>N281*(1+O282)</f>
        <v/>
      </c>
      <c r="P281" s="47">
        <f>O281*(1+P282)</f>
        <v/>
      </c>
      <c r="Q281" s="47">
        <f>P281*(1+Q282)</f>
        <v/>
      </c>
      <c r="R281" s="47">
        <f>Q281*(1+R282)</f>
        <v/>
      </c>
    </row>
    <row r="282">
      <c r="B282" s="30" t="inlineStr">
        <is>
          <t>y/y</t>
        </is>
      </c>
      <c r="C282" s="7" t="inlineStr">
        <is>
          <t>%</t>
        </is>
      </c>
      <c r="G282" s="77">
        <f>'Model'!G25</f>
        <v/>
      </c>
      <c r="H282" s="77">
        <f>'Model'!H25</f>
        <v/>
      </c>
      <c r="I282" s="76">
        <f>'Drivers'!I$86</f>
        <v/>
      </c>
      <c r="J282" s="77">
        <f>'Drivers'!J$86</f>
        <v/>
      </c>
      <c r="K282" s="77">
        <f>'Drivers'!K$86</f>
        <v/>
      </c>
      <c r="L282" s="77">
        <f>'Drivers'!L$86</f>
        <v/>
      </c>
      <c r="M282" s="77">
        <f>'Drivers'!M$86</f>
        <v/>
      </c>
      <c r="N282" s="77">
        <f>'Drivers'!N$86</f>
        <v/>
      </c>
      <c r="O282" s="77">
        <f>'Drivers'!O$86</f>
        <v/>
      </c>
      <c r="P282" s="77">
        <f>'Drivers'!P$86</f>
        <v/>
      </c>
      <c r="Q282" s="77">
        <f>'Drivers'!Q$86</f>
        <v/>
      </c>
      <c r="R282" s="77">
        <f>'Drivers'!R$86</f>
        <v/>
      </c>
    </row>
    <row r="283">
      <c r="B283" s="30" t="inlineStr">
        <is>
          <t>% of revenue</t>
        </is>
      </c>
      <c r="C283" s="7" t="inlineStr">
        <is>
          <t>%</t>
        </is>
      </c>
      <c r="F283" s="77">
        <f>'Model'!F26</f>
        <v/>
      </c>
      <c r="G283" s="77">
        <f>'Model'!G26</f>
        <v/>
      </c>
      <c r="H283" s="77">
        <f>'Model'!H26</f>
        <v/>
      </c>
      <c r="I283" s="64">
        <f>I281/I273</f>
        <v/>
      </c>
      <c r="J283" s="60">
        <f>J281/J273</f>
        <v/>
      </c>
      <c r="K283" s="60">
        <f>K281/K273</f>
        <v/>
      </c>
      <c r="L283" s="60">
        <f>L281/L273</f>
        <v/>
      </c>
      <c r="M283" s="60">
        <f>M281/M273</f>
        <v/>
      </c>
      <c r="N283" s="60">
        <f>N281/N273</f>
        <v/>
      </c>
      <c r="O283" s="60">
        <f>O281/O273</f>
        <v/>
      </c>
      <c r="P283" s="60">
        <f>P281/P273</f>
        <v/>
      </c>
      <c r="Q283" s="60">
        <f>Q281/Q273</f>
        <v/>
      </c>
      <c r="R283" s="60">
        <f>R281/R273</f>
        <v/>
      </c>
    </row>
    <row r="284">
      <c r="B284" s="10" t="inlineStr">
        <is>
          <t>Other cost of revenues</t>
        </is>
      </c>
      <c r="C284" s="7" t="inlineStr">
        <is>
          <t>$mm</t>
        </is>
      </c>
      <c r="F284" s="12">
        <f>'Model'!F27</f>
        <v/>
      </c>
      <c r="G284" s="12">
        <f>'Model'!G27</f>
        <v/>
      </c>
      <c r="H284" s="12">
        <f>'Model'!H27</f>
        <v/>
      </c>
      <c r="I284" s="59">
        <f>I273*I285</f>
        <v/>
      </c>
      <c r="J284" s="47">
        <f>J273*J285</f>
        <v/>
      </c>
      <c r="K284" s="47">
        <f>K273*K285</f>
        <v/>
      </c>
      <c r="L284" s="47">
        <f>L273*L285</f>
        <v/>
      </c>
      <c r="M284" s="47">
        <f>M273*M285</f>
        <v/>
      </c>
      <c r="N284" s="47">
        <f>N273*N285</f>
        <v/>
      </c>
      <c r="O284" s="47">
        <f>O273*O285</f>
        <v/>
      </c>
      <c r="P284" s="47">
        <f>P273*P285</f>
        <v/>
      </c>
      <c r="Q284" s="47">
        <f>Q273*Q285</f>
        <v/>
      </c>
      <c r="R284" s="47">
        <f>R273*R285</f>
        <v/>
      </c>
    </row>
    <row r="285">
      <c r="B285" s="30" t="inlineStr">
        <is>
          <t>% of revenue</t>
        </is>
      </c>
      <c r="C285" s="7" t="inlineStr">
        <is>
          <t>%</t>
        </is>
      </c>
      <c r="F285" s="77">
        <f>'Model'!F28</f>
        <v/>
      </c>
      <c r="G285" s="77">
        <f>'Model'!G28</f>
        <v/>
      </c>
      <c r="H285" s="77">
        <f>'Model'!H28</f>
        <v/>
      </c>
      <c r="I285" s="76">
        <f>'Drivers'!I$89</f>
        <v/>
      </c>
      <c r="J285" s="77">
        <f>'Drivers'!J$89</f>
        <v/>
      </c>
      <c r="K285" s="77">
        <f>'Drivers'!K$89</f>
        <v/>
      </c>
      <c r="L285" s="77">
        <f>'Drivers'!L$89</f>
        <v/>
      </c>
      <c r="M285" s="77">
        <f>'Drivers'!M$89</f>
        <v/>
      </c>
      <c r="N285" s="77">
        <f>'Drivers'!N$89</f>
        <v/>
      </c>
      <c r="O285" s="77">
        <f>'Drivers'!O$89</f>
        <v/>
      </c>
      <c r="P285" s="77">
        <f>'Drivers'!P$89</f>
        <v/>
      </c>
      <c r="Q285" s="77">
        <f>'Drivers'!Q$89</f>
        <v/>
      </c>
      <c r="R285" s="77">
        <f>'Drivers'!R$89</f>
        <v/>
      </c>
    </row>
    <row r="286">
      <c r="B286" s="6" t="inlineStr">
        <is>
          <t>Gross profit</t>
        </is>
      </c>
      <c r="C286" s="7" t="inlineStr">
        <is>
          <t>$mm</t>
        </is>
      </c>
      <c r="F286" s="62">
        <f>'Model'!F29</f>
        <v/>
      </c>
      <c r="G286" s="62">
        <f>'Model'!G29</f>
        <v/>
      </c>
      <c r="H286" s="62">
        <f>'Model'!H29</f>
        <v/>
      </c>
      <c r="I286" s="61">
        <f>I273-I281-I284</f>
        <v/>
      </c>
      <c r="J286" s="56">
        <f>J273-J281-J284</f>
        <v/>
      </c>
      <c r="K286" s="56">
        <f>K273-K281-K284</f>
        <v/>
      </c>
      <c r="L286" s="56">
        <f>L273-L281-L284</f>
        <v/>
      </c>
      <c r="M286" s="56">
        <f>M273-M281-M284</f>
        <v/>
      </c>
      <c r="N286" s="56">
        <f>N273-N281-N284</f>
        <v/>
      </c>
      <c r="O286" s="56">
        <f>O273-O281-O284</f>
        <v/>
      </c>
      <c r="P286" s="56">
        <f>P273-P281-P284</f>
        <v/>
      </c>
      <c r="Q286" s="56">
        <f>Q273-Q281-Q284</f>
        <v/>
      </c>
      <c r="R286" s="56">
        <f>R273-R281-R284</f>
        <v/>
      </c>
    </row>
    <row r="287">
      <c r="B287" s="30" t="inlineStr">
        <is>
          <t>gross margin</t>
        </is>
      </c>
      <c r="C287" s="7" t="inlineStr">
        <is>
          <t>%</t>
        </is>
      </c>
      <c r="F287" s="77">
        <f>'Model'!F30</f>
        <v/>
      </c>
      <c r="G287" s="77">
        <f>'Model'!G30</f>
        <v/>
      </c>
      <c r="H287" s="77">
        <f>'Model'!H30</f>
        <v/>
      </c>
      <c r="I287" s="64">
        <f>I286/I273</f>
        <v/>
      </c>
      <c r="J287" s="60">
        <f>J286/J273</f>
        <v/>
      </c>
      <c r="K287" s="60">
        <f>K286/K273</f>
        <v/>
      </c>
      <c r="L287" s="60">
        <f>L286/L273</f>
        <v/>
      </c>
      <c r="M287" s="60">
        <f>M286/M273</f>
        <v/>
      </c>
      <c r="N287" s="60">
        <f>N286/N273</f>
        <v/>
      </c>
      <c r="O287" s="60">
        <f>O286/O273</f>
        <v/>
      </c>
      <c r="P287" s="60">
        <f>P286/P273</f>
        <v/>
      </c>
      <c r="Q287" s="60">
        <f>Q286/Q273</f>
        <v/>
      </c>
      <c r="R287" s="60">
        <f>R286/R273</f>
        <v/>
      </c>
    </row>
    <row r="288">
      <c r="B288" s="10" t="inlineStr">
        <is>
          <t>Operating expenses (sales and marketing, technology, G&amp;A)</t>
        </is>
      </c>
      <c r="C288" s="7" t="inlineStr">
        <is>
          <t>$mm</t>
        </is>
      </c>
      <c r="F288" s="12">
        <f>'Model'!F31</f>
        <v/>
      </c>
      <c r="G288" s="12">
        <f>'Model'!G31</f>
        <v/>
      </c>
      <c r="H288" s="12">
        <f>'Model'!H31</f>
        <v/>
      </c>
      <c r="I288" s="59">
        <f>I273*I289</f>
        <v/>
      </c>
      <c r="J288" s="47">
        <f>J273*J289</f>
        <v/>
      </c>
      <c r="K288" s="47">
        <f>K273*K289</f>
        <v/>
      </c>
      <c r="L288" s="47">
        <f>L273*L289</f>
        <v/>
      </c>
      <c r="M288" s="47">
        <f>M273*M289</f>
        <v/>
      </c>
      <c r="N288" s="47">
        <f>N273*N289</f>
        <v/>
      </c>
      <c r="O288" s="47">
        <f>O273*O289</f>
        <v/>
      </c>
      <c r="P288" s="47">
        <f>P273*P289</f>
        <v/>
      </c>
      <c r="Q288" s="47">
        <f>Q273*Q289</f>
        <v/>
      </c>
      <c r="R288" s="47">
        <f>R273*R289</f>
        <v/>
      </c>
    </row>
    <row r="289">
      <c r="B289" s="30" t="inlineStr">
        <is>
          <t>% of revenue</t>
        </is>
      </c>
      <c r="C289" s="7" t="inlineStr">
        <is>
          <t>%</t>
        </is>
      </c>
      <c r="F289" s="77">
        <f>'Model'!F32</f>
        <v/>
      </c>
      <c r="G289" s="77">
        <f>'Model'!G32</f>
        <v/>
      </c>
      <c r="H289" s="77">
        <f>'Model'!H32</f>
        <v/>
      </c>
      <c r="I289" s="76">
        <f>'Drivers'!I$92</f>
        <v/>
      </c>
      <c r="J289" s="77">
        <f>'Drivers'!J$92</f>
        <v/>
      </c>
      <c r="K289" s="77">
        <f>'Drivers'!K$92</f>
        <v/>
      </c>
      <c r="L289" s="77">
        <f>'Drivers'!L$92</f>
        <v/>
      </c>
      <c r="M289" s="77">
        <f>'Drivers'!M$92</f>
        <v/>
      </c>
      <c r="N289" s="77">
        <f>'Drivers'!N$92</f>
        <v/>
      </c>
      <c r="O289" s="77">
        <f>'Drivers'!O$92</f>
        <v/>
      </c>
      <c r="P289" s="77">
        <f>'Drivers'!P$92</f>
        <v/>
      </c>
      <c r="Q289" s="77">
        <f>'Drivers'!Q$92</f>
        <v/>
      </c>
      <c r="R289" s="77">
        <f>'Drivers'!R$92</f>
        <v/>
      </c>
    </row>
    <row r="290">
      <c r="B290" s="6" t="inlineStr">
        <is>
          <t>Operating income</t>
        </is>
      </c>
      <c r="C290" s="7" t="inlineStr">
        <is>
          <t>$mm</t>
        </is>
      </c>
      <c r="F290" s="62">
        <f>'Model'!F33</f>
        <v/>
      </c>
      <c r="G290" s="62">
        <f>'Model'!G33</f>
        <v/>
      </c>
      <c r="H290" s="62">
        <f>'Model'!H33</f>
        <v/>
      </c>
      <c r="I290" s="61">
        <f>I286-I288</f>
        <v/>
      </c>
      <c r="J290" s="56">
        <f>J286-J288</f>
        <v/>
      </c>
      <c r="K290" s="56">
        <f>K286-K288</f>
        <v/>
      </c>
      <c r="L290" s="56">
        <f>L286-L288</f>
        <v/>
      </c>
      <c r="M290" s="56">
        <f>M286-M288</f>
        <v/>
      </c>
      <c r="N290" s="56">
        <f>N286-N288</f>
        <v/>
      </c>
      <c r="O290" s="56">
        <f>O286-O288</f>
        <v/>
      </c>
      <c r="P290" s="56">
        <f>P286-P288</f>
        <v/>
      </c>
      <c r="Q290" s="56">
        <f>Q286-Q288</f>
        <v/>
      </c>
      <c r="R290" s="56">
        <f>R286-R288</f>
        <v/>
      </c>
    </row>
    <row r="291">
      <c r="B291" s="30" t="inlineStr">
        <is>
          <t>operating margin</t>
        </is>
      </c>
      <c r="C291" s="7" t="inlineStr">
        <is>
          <t>%</t>
        </is>
      </c>
      <c r="F291" s="77">
        <f>'Model'!F34</f>
        <v/>
      </c>
      <c r="G291" s="77">
        <f>'Model'!G34</f>
        <v/>
      </c>
      <c r="H291" s="77">
        <f>'Model'!H34</f>
        <v/>
      </c>
      <c r="I291" s="64">
        <f>I290/I273</f>
        <v/>
      </c>
      <c r="J291" s="60">
        <f>J290/J273</f>
        <v/>
      </c>
      <c r="K291" s="60">
        <f>K290/K273</f>
        <v/>
      </c>
      <c r="L291" s="60">
        <f>L290/L273</f>
        <v/>
      </c>
      <c r="M291" s="60">
        <f>M290/M273</f>
        <v/>
      </c>
      <c r="N291" s="60">
        <f>N290/N273</f>
        <v/>
      </c>
      <c r="O291" s="60">
        <f>O290/O273</f>
        <v/>
      </c>
      <c r="P291" s="60">
        <f>P290/P273</f>
        <v/>
      </c>
      <c r="Q291" s="60">
        <f>Q290/Q273</f>
        <v/>
      </c>
      <c r="R291" s="60">
        <f>R290/R273</f>
        <v/>
      </c>
    </row>
    <row r="292">
      <c r="B292" s="30" t="inlineStr">
        <is>
          <t>y/y</t>
        </is>
      </c>
      <c r="C292" s="7" t="inlineStr">
        <is>
          <t>%</t>
        </is>
      </c>
      <c r="G292" s="77">
        <f>'Model'!G35</f>
        <v/>
      </c>
      <c r="H292" s="77">
        <f>'Model'!H35</f>
        <v/>
      </c>
      <c r="I292" s="64">
        <f>I290/H290-1</f>
        <v/>
      </c>
      <c r="J292" s="60">
        <f>J290/I290-1</f>
        <v/>
      </c>
      <c r="K292" s="60">
        <f>K290/J290-1</f>
        <v/>
      </c>
      <c r="L292" s="60">
        <f>L290/K290-1</f>
        <v/>
      </c>
      <c r="M292" s="60">
        <f>M290/L290-1</f>
        <v/>
      </c>
      <c r="N292" s="60">
        <f>N290/M290-1</f>
        <v/>
      </c>
      <c r="O292" s="60">
        <f>O290/N290-1</f>
        <v/>
      </c>
      <c r="P292" s="60">
        <f>P290/O290-1</f>
        <v/>
      </c>
      <c r="Q292" s="60">
        <f>Q290/P290-1</f>
        <v/>
      </c>
      <c r="R292" s="60">
        <f>R290/Q290-1</f>
        <v/>
      </c>
    </row>
    <row r="293">
      <c r="B293" s="10" t="inlineStr">
        <is>
          <t>Interest expense</t>
        </is>
      </c>
      <c r="C293" s="7" t="inlineStr">
        <is>
          <t>$mm</t>
        </is>
      </c>
      <c r="F293" s="12">
        <f>'Model'!F36</f>
        <v/>
      </c>
      <c r="G293" s="12">
        <f>'Model'!G36</f>
        <v/>
      </c>
      <c r="H293" s="12">
        <f>'Model'!H36</f>
        <v/>
      </c>
      <c r="I293" s="32">
        <f>-H323*'Drivers'!I$62</f>
        <v/>
      </c>
      <c r="J293" s="12">
        <f>-I323*'Drivers'!J$62</f>
        <v/>
      </c>
      <c r="K293" s="12">
        <f>-J323*'Drivers'!K$62</f>
        <v/>
      </c>
      <c r="L293" s="12">
        <f>-K323*'Drivers'!L$62</f>
        <v/>
      </c>
      <c r="M293" s="12">
        <f>-L323*'Drivers'!M$62</f>
        <v/>
      </c>
      <c r="N293" s="12">
        <f>-M323*'Drivers'!N$62</f>
        <v/>
      </c>
      <c r="O293" s="12">
        <f>-N323*'Drivers'!O$62</f>
        <v/>
      </c>
      <c r="P293" s="12">
        <f>-O323*'Drivers'!P$62</f>
        <v/>
      </c>
      <c r="Q293" s="12">
        <f>-P323*'Drivers'!Q$62</f>
        <v/>
      </c>
      <c r="R293" s="12">
        <f>-Q323*'Drivers'!R$62</f>
        <v/>
      </c>
    </row>
    <row r="294">
      <c r="B294" s="10" t="inlineStr">
        <is>
          <t>Interest and other income (expense)</t>
        </is>
      </c>
      <c r="C294" s="7" t="inlineStr">
        <is>
          <t>$mm</t>
        </is>
      </c>
      <c r="F294" s="12">
        <f>'Model'!F37</f>
        <v/>
      </c>
      <c r="G294" s="12">
        <f>'Model'!G37</f>
        <v/>
      </c>
      <c r="H294" s="12">
        <f>'Model'!H37</f>
        <v/>
      </c>
      <c r="I294" s="32">
        <f>I321*'Drivers'!I$63+I295</f>
        <v/>
      </c>
      <c r="J294" s="12">
        <f>J321*'Drivers'!J$63+J295</f>
        <v/>
      </c>
      <c r="K294" s="12">
        <f>K321*'Drivers'!K$63+K295</f>
        <v/>
      </c>
      <c r="L294" s="12">
        <f>L321*'Drivers'!L$63+L295</f>
        <v/>
      </c>
      <c r="M294" s="12">
        <f>M321*'Drivers'!M$63+M295</f>
        <v/>
      </c>
      <c r="N294" s="12">
        <f>N321*'Drivers'!N$63+N295</f>
        <v/>
      </c>
      <c r="O294" s="12">
        <f>O321*'Drivers'!O$63+O295</f>
        <v/>
      </c>
      <c r="P294" s="12">
        <f>P321*'Drivers'!P$63+P295</f>
        <v/>
      </c>
      <c r="Q294" s="12">
        <f>Q321*'Drivers'!Q$63+Q295</f>
        <v/>
      </c>
      <c r="R294" s="12">
        <f>R321*'Drivers'!R$63+R295</f>
        <v/>
      </c>
    </row>
    <row r="295">
      <c r="B295" s="30" t="inlineStr">
        <is>
          <t>of which one-off (WBD termination fee)</t>
        </is>
      </c>
      <c r="C295" s="7" t="inlineStr">
        <is>
          <t>$mm</t>
        </is>
      </c>
      <c r="F295" s="79">
        <f>'Model'!F38</f>
        <v/>
      </c>
      <c r="G295" s="79">
        <f>'Model'!G38</f>
        <v/>
      </c>
      <c r="H295" s="79">
        <f>'Model'!H38</f>
        <v/>
      </c>
      <c r="I295" s="78">
        <f>'Drivers'!I$64</f>
        <v/>
      </c>
      <c r="J295" s="79">
        <f>'Drivers'!J$64</f>
        <v/>
      </c>
      <c r="K295" s="79">
        <f>'Drivers'!K$64</f>
        <v/>
      </c>
      <c r="L295" s="79">
        <f>'Drivers'!L$64</f>
        <v/>
      </c>
      <c r="M295" s="79">
        <f>'Drivers'!M$64</f>
        <v/>
      </c>
      <c r="N295" s="79">
        <f>'Drivers'!N$64</f>
        <v/>
      </c>
      <c r="O295" s="79">
        <f>'Drivers'!O$64</f>
        <v/>
      </c>
      <c r="P295" s="79">
        <f>'Drivers'!P$64</f>
        <v/>
      </c>
      <c r="Q295" s="79">
        <f>'Drivers'!Q$64</f>
        <v/>
      </c>
      <c r="R295" s="79">
        <f>'Drivers'!R$64</f>
        <v/>
      </c>
    </row>
    <row r="296">
      <c r="B296" s="10" t="inlineStr">
        <is>
          <t>Income before income taxes</t>
        </is>
      </c>
      <c r="C296" s="7" t="inlineStr">
        <is>
          <t>$mm</t>
        </is>
      </c>
      <c r="F296" s="107">
        <f>'Model'!F39</f>
        <v/>
      </c>
      <c r="G296" s="107">
        <f>'Model'!G39</f>
        <v/>
      </c>
      <c r="H296" s="107">
        <f>'Model'!H39</f>
        <v/>
      </c>
      <c r="I296" s="82">
        <f>I290+I293+I294</f>
        <v/>
      </c>
      <c r="J296" s="81">
        <f>J290+J293+J294</f>
        <v/>
      </c>
      <c r="K296" s="81">
        <f>K290+K293+K294</f>
        <v/>
      </c>
      <c r="L296" s="81">
        <f>L290+L293+L294</f>
        <v/>
      </c>
      <c r="M296" s="81">
        <f>M290+M293+M294</f>
        <v/>
      </c>
      <c r="N296" s="81">
        <f>N290+N293+N294</f>
        <v/>
      </c>
      <c r="O296" s="81">
        <f>O290+O293+O294</f>
        <v/>
      </c>
      <c r="P296" s="81">
        <f>P290+P293+P294</f>
        <v/>
      </c>
      <c r="Q296" s="81">
        <f>Q290+Q293+Q294</f>
        <v/>
      </c>
      <c r="R296" s="81">
        <f>R290+R293+R294</f>
        <v/>
      </c>
    </row>
    <row r="297">
      <c r="B297" s="10" t="inlineStr">
        <is>
          <t>Provision for income taxes</t>
        </is>
      </c>
      <c r="C297" s="7" t="inlineStr">
        <is>
          <t>$mm</t>
        </is>
      </c>
      <c r="F297" s="12">
        <f>'Model'!F40</f>
        <v/>
      </c>
      <c r="G297" s="12">
        <f>'Model'!G40</f>
        <v/>
      </c>
      <c r="H297" s="12">
        <f>'Model'!H40</f>
        <v/>
      </c>
      <c r="I297" s="59">
        <f>I296*I298</f>
        <v/>
      </c>
      <c r="J297" s="47">
        <f>J296*J298</f>
        <v/>
      </c>
      <c r="K297" s="47">
        <f>K296*K298</f>
        <v/>
      </c>
      <c r="L297" s="47">
        <f>L296*L298</f>
        <v/>
      </c>
      <c r="M297" s="47">
        <f>M296*M298</f>
        <v/>
      </c>
      <c r="N297" s="47">
        <f>N296*N298</f>
        <v/>
      </c>
      <c r="O297" s="47">
        <f>O296*O298</f>
        <v/>
      </c>
      <c r="P297" s="47">
        <f>P296*P298</f>
        <v/>
      </c>
      <c r="Q297" s="47">
        <f>Q296*Q298</f>
        <v/>
      </c>
      <c r="R297" s="47">
        <f>R296*R298</f>
        <v/>
      </c>
    </row>
    <row r="298">
      <c r="B298" s="30" t="inlineStr">
        <is>
          <t>effective tax rate</t>
        </is>
      </c>
      <c r="C298" s="7" t="inlineStr">
        <is>
          <t>%</t>
        </is>
      </c>
      <c r="F298" s="77">
        <f>'Model'!F41</f>
        <v/>
      </c>
      <c r="G298" s="77">
        <f>'Model'!G41</f>
        <v/>
      </c>
      <c r="H298" s="77">
        <f>'Model'!H41</f>
        <v/>
      </c>
      <c r="I298" s="76">
        <f>'Drivers'!I$61</f>
        <v/>
      </c>
      <c r="J298" s="77">
        <f>'Drivers'!J$61</f>
        <v/>
      </c>
      <c r="K298" s="77">
        <f>'Drivers'!K$61</f>
        <v/>
      </c>
      <c r="L298" s="77">
        <f>'Drivers'!L$61</f>
        <v/>
      </c>
      <c r="M298" s="77">
        <f>'Drivers'!M$61</f>
        <v/>
      </c>
      <c r="N298" s="77">
        <f>'Drivers'!N$61</f>
        <v/>
      </c>
      <c r="O298" s="77">
        <f>'Drivers'!O$61</f>
        <v/>
      </c>
      <c r="P298" s="77">
        <f>'Drivers'!P$61</f>
        <v/>
      </c>
      <c r="Q298" s="77">
        <f>'Drivers'!Q$61</f>
        <v/>
      </c>
      <c r="R298" s="77">
        <f>'Drivers'!R$61</f>
        <v/>
      </c>
    </row>
    <row r="299">
      <c r="B299" s="6" t="inlineStr">
        <is>
          <t>Net income</t>
        </is>
      </c>
      <c r="C299" s="7" t="inlineStr">
        <is>
          <t>$mm</t>
        </is>
      </c>
      <c r="F299" s="62">
        <f>'Model'!F42</f>
        <v/>
      </c>
      <c r="G299" s="62">
        <f>'Model'!G42</f>
        <v/>
      </c>
      <c r="H299" s="62">
        <f>'Model'!H42</f>
        <v/>
      </c>
      <c r="I299" s="61">
        <f>I296-I297</f>
        <v/>
      </c>
      <c r="J299" s="56">
        <f>J296-J297</f>
        <v/>
      </c>
      <c r="K299" s="56">
        <f>K296-K297</f>
        <v/>
      </c>
      <c r="L299" s="56">
        <f>L296-L297</f>
        <v/>
      </c>
      <c r="M299" s="56">
        <f>M296-M297</f>
        <v/>
      </c>
      <c r="N299" s="56">
        <f>N296-N297</f>
        <v/>
      </c>
      <c r="O299" s="56">
        <f>O296-O297</f>
        <v/>
      </c>
      <c r="P299" s="56">
        <f>P296-P297</f>
        <v/>
      </c>
      <c r="Q299" s="56">
        <f>Q296-Q297</f>
        <v/>
      </c>
      <c r="R299" s="56">
        <f>R296-R297</f>
        <v/>
      </c>
    </row>
    <row r="300">
      <c r="B300" s="30" t="inlineStr">
        <is>
          <t>net margin</t>
        </is>
      </c>
      <c r="C300" s="7" t="inlineStr">
        <is>
          <t>%</t>
        </is>
      </c>
      <c r="F300" s="77">
        <f>'Model'!F43</f>
        <v/>
      </c>
      <c r="G300" s="77">
        <f>'Model'!G43</f>
        <v/>
      </c>
      <c r="H300" s="77">
        <f>'Model'!H43</f>
        <v/>
      </c>
      <c r="I300" s="64">
        <f>I299/I273</f>
        <v/>
      </c>
      <c r="J300" s="60">
        <f>J299/J273</f>
        <v/>
      </c>
      <c r="K300" s="60">
        <f>K299/K273</f>
        <v/>
      </c>
      <c r="L300" s="60">
        <f>L299/L273</f>
        <v/>
      </c>
      <c r="M300" s="60">
        <f>M299/M273</f>
        <v/>
      </c>
      <c r="N300" s="60">
        <f>N299/N273</f>
        <v/>
      </c>
      <c r="O300" s="60">
        <f>O299/O273</f>
        <v/>
      </c>
      <c r="P300" s="60">
        <f>P299/P273</f>
        <v/>
      </c>
      <c r="Q300" s="60">
        <f>Q299/Q273</f>
        <v/>
      </c>
      <c r="R300" s="60">
        <f>R299/R273</f>
        <v/>
      </c>
    </row>
    <row r="301">
      <c r="B301" s="10" t="inlineStr">
        <is>
          <t>Diluted shares, weighted average</t>
        </is>
      </c>
      <c r="C301" s="7" t="inlineStr">
        <is>
          <t>mm</t>
        </is>
      </c>
      <c r="F301" s="11">
        <f>'Model'!F44</f>
        <v/>
      </c>
      <c r="G301" s="11">
        <f>'Model'!G44</f>
        <v/>
      </c>
      <c r="H301" s="11">
        <f>'Model'!H44</f>
        <v/>
      </c>
      <c r="I301" s="83">
        <f>(H330+I330)/2</f>
        <v/>
      </c>
      <c r="J301" s="84">
        <f>(I330+J330)/2</f>
        <v/>
      </c>
      <c r="K301" s="84">
        <f>(J330+K330)/2</f>
        <v/>
      </c>
      <c r="L301" s="84">
        <f>(K330+L330)/2</f>
        <v/>
      </c>
      <c r="M301" s="84">
        <f>(L330+M330)/2</f>
        <v/>
      </c>
      <c r="N301" s="84">
        <f>(M330+N330)/2</f>
        <v/>
      </c>
      <c r="O301" s="84">
        <f>(N330+O330)/2</f>
        <v/>
      </c>
      <c r="P301" s="84">
        <f>(O330+P330)/2</f>
        <v/>
      </c>
      <c r="Q301" s="84">
        <f>(P330+Q330)/2</f>
        <v/>
      </c>
      <c r="R301" s="84">
        <f>(Q330+R330)/2</f>
        <v/>
      </c>
    </row>
    <row r="302">
      <c r="B302" s="6" t="inlineStr">
        <is>
          <t>Diluted EPS, GAAP</t>
        </is>
      </c>
      <c r="C302" s="7" t="inlineStr">
        <is>
          <t>$</t>
        </is>
      </c>
      <c r="F302" s="22">
        <f>'Model'!F45</f>
        <v/>
      </c>
      <c r="G302" s="22">
        <f>'Model'!G45</f>
        <v/>
      </c>
      <c r="H302" s="22">
        <f>'Model'!H45</f>
        <v/>
      </c>
      <c r="I302" s="70">
        <f>I299/I301</f>
        <v/>
      </c>
      <c r="J302" s="69">
        <f>J299/J301</f>
        <v/>
      </c>
      <c r="K302" s="69">
        <f>K299/K301</f>
        <v/>
      </c>
      <c r="L302" s="69">
        <f>L299/L301</f>
        <v/>
      </c>
      <c r="M302" s="69">
        <f>M299/M301</f>
        <v/>
      </c>
      <c r="N302" s="69">
        <f>N299/N301</f>
        <v/>
      </c>
      <c r="O302" s="69">
        <f>O299/O301</f>
        <v/>
      </c>
      <c r="P302" s="69">
        <f>P299/P301</f>
        <v/>
      </c>
      <c r="Q302" s="69">
        <f>Q299/Q301</f>
        <v/>
      </c>
      <c r="R302" s="69">
        <f>R299/R301</f>
        <v/>
      </c>
    </row>
    <row r="303">
      <c r="B303" s="30" t="inlineStr">
        <is>
          <t>y/y</t>
        </is>
      </c>
      <c r="C303" s="7" t="inlineStr">
        <is>
          <t>%</t>
        </is>
      </c>
      <c r="G303" s="77">
        <f>'Model'!G46</f>
        <v/>
      </c>
      <c r="H303" s="77">
        <f>'Model'!H46</f>
        <v/>
      </c>
      <c r="I303" s="64">
        <f>I302/H302-1</f>
        <v/>
      </c>
      <c r="J303" s="60">
        <f>J302/I302-1</f>
        <v/>
      </c>
      <c r="K303" s="60">
        <f>K302/J302-1</f>
        <v/>
      </c>
      <c r="L303" s="60">
        <f>L302/K302-1</f>
        <v/>
      </c>
      <c r="M303" s="60">
        <f>M302/L302-1</f>
        <v/>
      </c>
      <c r="N303" s="60">
        <f>N302/M302-1</f>
        <v/>
      </c>
      <c r="O303" s="60">
        <f>O302/N302-1</f>
        <v/>
      </c>
      <c r="P303" s="60">
        <f>P302/O302-1</f>
        <v/>
      </c>
      <c r="Q303" s="60">
        <f>Q302/P302-1</f>
        <v/>
      </c>
      <c r="R303" s="60">
        <f>R302/Q302-1</f>
        <v/>
      </c>
    </row>
    <row r="304">
      <c r="B304" s="6" t="inlineStr">
        <is>
          <t>Diluted EPS ex one-offs</t>
        </is>
      </c>
      <c r="C304" s="7" t="inlineStr">
        <is>
          <t>$</t>
        </is>
      </c>
      <c r="F304" s="22">
        <f>'Model'!F47</f>
        <v/>
      </c>
      <c r="G304" s="22">
        <f>'Model'!G47</f>
        <v/>
      </c>
      <c r="H304" s="22">
        <f>'Model'!H47</f>
        <v/>
      </c>
      <c r="I304" s="70">
        <f>(I296-I295)*(1-I298)/I301</f>
        <v/>
      </c>
      <c r="J304" s="69">
        <f>(J296-J295)*(1-J298)/J301</f>
        <v/>
      </c>
      <c r="K304" s="69">
        <f>(K296-K295)*(1-K298)/K301</f>
        <v/>
      </c>
      <c r="L304" s="69">
        <f>(L296-L295)*(1-L298)/L301</f>
        <v/>
      </c>
      <c r="M304" s="69">
        <f>(M296-M295)*(1-M298)/M301</f>
        <v/>
      </c>
      <c r="N304" s="69">
        <f>(N296-N295)*(1-N298)/N301</f>
        <v/>
      </c>
      <c r="O304" s="69">
        <f>(O296-O295)*(1-O298)/O301</f>
        <v/>
      </c>
      <c r="P304" s="69">
        <f>(P296-P295)*(1-P298)/P301</f>
        <v/>
      </c>
      <c r="Q304" s="69">
        <f>(Q296-Q295)*(1-Q298)/Q301</f>
        <v/>
      </c>
      <c r="R304" s="69">
        <f>(R296-R295)*(1-R298)/R301</f>
        <v/>
      </c>
    </row>
    <row r="305">
      <c r="B305" s="30" t="inlineStr">
        <is>
          <t>y/y</t>
        </is>
      </c>
      <c r="C305" s="7" t="inlineStr">
        <is>
          <t>%</t>
        </is>
      </c>
      <c r="G305" s="77">
        <f>'Model'!G48</f>
        <v/>
      </c>
      <c r="H305" s="77">
        <f>'Model'!H48</f>
        <v/>
      </c>
      <c r="I305" s="64">
        <f>I304/H304-1</f>
        <v/>
      </c>
      <c r="J305" s="60">
        <f>J304/I304-1</f>
        <v/>
      </c>
      <c r="K305" s="60">
        <f>K304/J304-1</f>
        <v/>
      </c>
      <c r="L305" s="60">
        <f>L304/K304-1</f>
        <v/>
      </c>
      <c r="M305" s="60">
        <f>M304/L304-1</f>
        <v/>
      </c>
      <c r="N305" s="60">
        <f>N304/M304-1</f>
        <v/>
      </c>
      <c r="O305" s="60">
        <f>O304/N304-1</f>
        <v/>
      </c>
      <c r="P305" s="60">
        <f>P304/O304-1</f>
        <v/>
      </c>
      <c r="Q305" s="60">
        <f>Q304/P304-1</f>
        <v/>
      </c>
      <c r="R305" s="60">
        <f>R304/Q304-1</f>
        <v/>
      </c>
    </row>
    <row r="306">
      <c r="I306" s="65" t="n"/>
    </row>
    <row r="307">
      <c r="B307" s="4" t="inlineStr">
        <is>
          <t>CASH FLOW, BUYBACKS AND NET DEBT</t>
        </is>
      </c>
      <c r="C307" s="5" t="n"/>
      <c r="D307" s="5" t="n"/>
      <c r="E307" s="5" t="n"/>
      <c r="F307" s="5" t="n"/>
      <c r="G307" s="5" t="n"/>
      <c r="H307" s="5" t="n"/>
      <c r="I307" s="66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</row>
    <row r="308">
      <c r="B308" s="10" t="inlineStr">
        <is>
          <t>NOPAT (operating income after tax)</t>
        </is>
      </c>
      <c r="C308" s="7" t="inlineStr">
        <is>
          <t>$mm</t>
        </is>
      </c>
      <c r="I308" s="59">
        <f>I290*(1-I298)</f>
        <v/>
      </c>
      <c r="J308" s="47">
        <f>J290*(1-J298)</f>
        <v/>
      </c>
      <c r="K308" s="47">
        <f>K290*(1-K298)</f>
        <v/>
      </c>
      <c r="L308" s="47">
        <f>L290*(1-L298)</f>
        <v/>
      </c>
      <c r="M308" s="47">
        <f>M290*(1-M298)</f>
        <v/>
      </c>
      <c r="N308" s="47">
        <f>N290*(1-N298)</f>
        <v/>
      </c>
      <c r="O308" s="47">
        <f>O290*(1-O298)</f>
        <v/>
      </c>
      <c r="P308" s="47">
        <f>P290*(1-P298)</f>
        <v/>
      </c>
      <c r="Q308" s="47">
        <f>Q290*(1-Q298)</f>
        <v/>
      </c>
      <c r="R308" s="47">
        <f>R290*(1-R298)</f>
        <v/>
      </c>
    </row>
    <row r="309">
      <c r="B309" s="10" t="inlineStr">
        <is>
          <t>Plus: content amortization</t>
        </is>
      </c>
      <c r="C309" s="7" t="inlineStr">
        <is>
          <t>$mm</t>
        </is>
      </c>
      <c r="F309" s="12">
        <f>'Model'!F52</f>
        <v/>
      </c>
      <c r="G309" s="12">
        <f>'Model'!G52</f>
        <v/>
      </c>
      <c r="H309" s="12">
        <f>'Model'!H52</f>
        <v/>
      </c>
      <c r="I309" s="59">
        <f>I281</f>
        <v/>
      </c>
      <c r="J309" s="47">
        <f>J281</f>
        <v/>
      </c>
      <c r="K309" s="47">
        <f>K281</f>
        <v/>
      </c>
      <c r="L309" s="47">
        <f>L281</f>
        <v/>
      </c>
      <c r="M309" s="47">
        <f>M281</f>
        <v/>
      </c>
      <c r="N309" s="47">
        <f>N281</f>
        <v/>
      </c>
      <c r="O309" s="47">
        <f>O281</f>
        <v/>
      </c>
      <c r="P309" s="47">
        <f>P281</f>
        <v/>
      </c>
      <c r="Q309" s="47">
        <f>Q281</f>
        <v/>
      </c>
      <c r="R309" s="47">
        <f>R281</f>
        <v/>
      </c>
    </row>
    <row r="310">
      <c r="B310" s="10" t="inlineStr">
        <is>
          <t>Less: cash content spend</t>
        </is>
      </c>
      <c r="C310" s="7" t="inlineStr">
        <is>
          <t>$mm</t>
        </is>
      </c>
      <c r="F310" s="12">
        <f>'Model'!F53</f>
        <v/>
      </c>
      <c r="G310" s="12">
        <f>'Model'!G53</f>
        <v/>
      </c>
      <c r="H310" s="12">
        <f>'Model'!H53</f>
        <v/>
      </c>
      <c r="I310" s="32">
        <f>-I281*'Drivers'!I$56</f>
        <v/>
      </c>
      <c r="J310" s="12">
        <f>-J281*'Drivers'!J$56</f>
        <v/>
      </c>
      <c r="K310" s="12">
        <f>-K281*'Drivers'!K$56</f>
        <v/>
      </c>
      <c r="L310" s="12">
        <f>-L281*'Drivers'!L$56</f>
        <v/>
      </c>
      <c r="M310" s="12">
        <f>-M281*'Drivers'!M$56</f>
        <v/>
      </c>
      <c r="N310" s="12">
        <f>-N281*'Drivers'!N$56</f>
        <v/>
      </c>
      <c r="O310" s="12">
        <f>-O281*'Drivers'!O$56</f>
        <v/>
      </c>
      <c r="P310" s="12">
        <f>-P281*'Drivers'!P$56</f>
        <v/>
      </c>
      <c r="Q310" s="12">
        <f>-Q281*'Drivers'!Q$56</f>
        <v/>
      </c>
      <c r="R310" s="12">
        <f>-R281*'Drivers'!R$56</f>
        <v/>
      </c>
    </row>
    <row r="311">
      <c r="B311" s="30" t="inlineStr">
        <is>
          <t>cash content spend / amortization</t>
        </is>
      </c>
      <c r="C311" s="7" t="inlineStr">
        <is>
          <t>x</t>
        </is>
      </c>
      <c r="F311" s="74">
        <f>'Model'!F54</f>
        <v/>
      </c>
      <c r="G311" s="74">
        <f>'Model'!G54</f>
        <v/>
      </c>
      <c r="H311" s="74">
        <f>'Model'!H54</f>
        <v/>
      </c>
      <c r="I311" s="85">
        <f>-I310/I309</f>
        <v/>
      </c>
      <c r="J311" s="73">
        <f>-J310/J309</f>
        <v/>
      </c>
      <c r="K311" s="73">
        <f>-K310/K309</f>
        <v/>
      </c>
      <c r="L311" s="73">
        <f>-L310/L309</f>
        <v/>
      </c>
      <c r="M311" s="73">
        <f>-M310/M309</f>
        <v/>
      </c>
      <c r="N311" s="73">
        <f>-N310/N309</f>
        <v/>
      </c>
      <c r="O311" s="73">
        <f>-O310/O309</f>
        <v/>
      </c>
      <c r="P311" s="73">
        <f>-P310/P309</f>
        <v/>
      </c>
      <c r="Q311" s="73">
        <f>-Q310/Q309</f>
        <v/>
      </c>
      <c r="R311" s="73">
        <f>-R310/R309</f>
        <v/>
      </c>
    </row>
    <row r="312">
      <c r="B312" s="10" t="inlineStr">
        <is>
          <t>Plus: depreciation and amortization ex content</t>
        </is>
      </c>
      <c r="C312" s="7" t="inlineStr">
        <is>
          <t>$mm</t>
        </is>
      </c>
      <c r="F312" s="12">
        <f>'Model'!F55</f>
        <v/>
      </c>
      <c r="G312" s="12">
        <f>'Model'!G55</f>
        <v/>
      </c>
      <c r="H312" s="12">
        <f>'Model'!H55</f>
        <v/>
      </c>
      <c r="I312" s="32">
        <f>I273*'Drivers'!I$57</f>
        <v/>
      </c>
      <c r="J312" s="12">
        <f>J273*'Drivers'!J$57</f>
        <v/>
      </c>
      <c r="K312" s="12">
        <f>K273*'Drivers'!K$57</f>
        <v/>
      </c>
      <c r="L312" s="12">
        <f>L273*'Drivers'!L$57</f>
        <v/>
      </c>
      <c r="M312" s="12">
        <f>M273*'Drivers'!M$57</f>
        <v/>
      </c>
      <c r="N312" s="12">
        <f>N273*'Drivers'!N$57</f>
        <v/>
      </c>
      <c r="O312" s="12">
        <f>O273*'Drivers'!O$57</f>
        <v/>
      </c>
      <c r="P312" s="12">
        <f>P273*'Drivers'!P$57</f>
        <v/>
      </c>
      <c r="Q312" s="12">
        <f>Q273*'Drivers'!Q$57</f>
        <v/>
      </c>
      <c r="R312" s="12">
        <f>R273*'Drivers'!R$57</f>
        <v/>
      </c>
    </row>
    <row r="313">
      <c r="B313" s="10" t="inlineStr">
        <is>
          <t>Plus: stock-based compensation</t>
        </is>
      </c>
      <c r="C313" s="7" t="inlineStr">
        <is>
          <t>$mm</t>
        </is>
      </c>
      <c r="F313" s="12">
        <f>'Model'!F56</f>
        <v/>
      </c>
      <c r="G313" s="12">
        <f>'Model'!G56</f>
        <v/>
      </c>
      <c r="H313" s="12">
        <f>'Model'!H56</f>
        <v/>
      </c>
      <c r="I313" s="32">
        <f>I273*'Drivers'!I$58</f>
        <v/>
      </c>
      <c r="J313" s="12">
        <f>J273*'Drivers'!J$58</f>
        <v/>
      </c>
      <c r="K313" s="12">
        <f>K273*'Drivers'!K$58</f>
        <v/>
      </c>
      <c r="L313" s="12">
        <f>L273*'Drivers'!L$58</f>
        <v/>
      </c>
      <c r="M313" s="12">
        <f>M273*'Drivers'!M$58</f>
        <v/>
      </c>
      <c r="N313" s="12">
        <f>N273*'Drivers'!N$58</f>
        <v/>
      </c>
      <c r="O313" s="12">
        <f>O273*'Drivers'!O$58</f>
        <v/>
      </c>
      <c r="P313" s="12">
        <f>P273*'Drivers'!P$58</f>
        <v/>
      </c>
      <c r="Q313" s="12">
        <f>Q273*'Drivers'!Q$58</f>
        <v/>
      </c>
      <c r="R313" s="12">
        <f>R273*'Drivers'!R$58</f>
        <v/>
      </c>
    </row>
    <row r="314">
      <c r="B314" s="10" t="inlineStr">
        <is>
          <t>Less: capital expenditures</t>
        </is>
      </c>
      <c r="C314" s="7" t="inlineStr">
        <is>
          <t>$mm</t>
        </is>
      </c>
      <c r="F314" s="12">
        <f>'Model'!F57</f>
        <v/>
      </c>
      <c r="G314" s="12">
        <f>'Model'!G57</f>
        <v/>
      </c>
      <c r="H314" s="12">
        <f>'Model'!H57</f>
        <v/>
      </c>
      <c r="I314" s="32">
        <f>-I273*'Drivers'!I$59</f>
        <v/>
      </c>
      <c r="J314" s="12">
        <f>-J273*'Drivers'!J$59</f>
        <v/>
      </c>
      <c r="K314" s="12">
        <f>-K273*'Drivers'!K$59</f>
        <v/>
      </c>
      <c r="L314" s="12">
        <f>-L273*'Drivers'!L$59</f>
        <v/>
      </c>
      <c r="M314" s="12">
        <f>-M273*'Drivers'!M$59</f>
        <v/>
      </c>
      <c r="N314" s="12">
        <f>-N273*'Drivers'!N$59</f>
        <v/>
      </c>
      <c r="O314" s="12">
        <f>-O273*'Drivers'!O$59</f>
        <v/>
      </c>
      <c r="P314" s="12">
        <f>-P273*'Drivers'!P$59</f>
        <v/>
      </c>
      <c r="Q314" s="12">
        <f>-Q273*'Drivers'!Q$59</f>
        <v/>
      </c>
      <c r="R314" s="12">
        <f>-R273*'Drivers'!R$59</f>
        <v/>
      </c>
    </row>
    <row r="315">
      <c r="B315" s="10" t="inlineStr">
        <is>
          <t>Other operating cash items</t>
        </is>
      </c>
      <c r="C315" s="7" t="inlineStr">
        <is>
          <t>$mm</t>
        </is>
      </c>
      <c r="F315" s="12">
        <f>'Model'!F58</f>
        <v/>
      </c>
      <c r="G315" s="12">
        <f>'Model'!G58</f>
        <v/>
      </c>
      <c r="H315" s="12">
        <f>'Model'!H58</f>
        <v/>
      </c>
      <c r="I315" s="32">
        <f>I273*'Drivers'!I$60</f>
        <v/>
      </c>
      <c r="J315" s="12">
        <f>J273*'Drivers'!J$60</f>
        <v/>
      </c>
      <c r="K315" s="12">
        <f>K273*'Drivers'!K$60</f>
        <v/>
      </c>
      <c r="L315" s="12">
        <f>L273*'Drivers'!L$60</f>
        <v/>
      </c>
      <c r="M315" s="12">
        <f>M273*'Drivers'!M$60</f>
        <v/>
      </c>
      <c r="N315" s="12">
        <f>N273*'Drivers'!N$60</f>
        <v/>
      </c>
      <c r="O315" s="12">
        <f>O273*'Drivers'!O$60</f>
        <v/>
      </c>
      <c r="P315" s="12">
        <f>P273*'Drivers'!P$60</f>
        <v/>
      </c>
      <c r="Q315" s="12">
        <f>Q273*'Drivers'!Q$60</f>
        <v/>
      </c>
      <c r="R315" s="12">
        <f>R273*'Drivers'!R$60</f>
        <v/>
      </c>
    </row>
    <row r="316">
      <c r="B316" s="6" t="inlineStr">
        <is>
          <t>Unlevered free cash flow</t>
        </is>
      </c>
      <c r="C316" s="7" t="inlineStr">
        <is>
          <t>$mm</t>
        </is>
      </c>
      <c r="I316" s="61">
        <f>I308+I309+I310+I312+I313+I314+I315</f>
        <v/>
      </c>
      <c r="J316" s="56">
        <f>J308+J309+J310+J312+J313+J314+J315</f>
        <v/>
      </c>
      <c r="K316" s="56">
        <f>K308+K309+K310+K312+K313+K314+K315</f>
        <v/>
      </c>
      <c r="L316" s="56">
        <f>L308+L309+L310+L312+L313+L314+L315</f>
        <v/>
      </c>
      <c r="M316" s="56">
        <f>M308+M309+M310+M312+M313+M314+M315</f>
        <v/>
      </c>
      <c r="N316" s="56">
        <f>N308+N309+N310+N312+N313+N314+N315</f>
        <v/>
      </c>
      <c r="O316" s="56">
        <f>O308+O309+O310+O312+O313+O314+O315</f>
        <v/>
      </c>
      <c r="P316" s="56">
        <f>P308+P309+P310+P312+P313+P314+P315</f>
        <v/>
      </c>
      <c r="Q316" s="56">
        <f>Q308+Q309+Q310+Q312+Q313+Q314+Q315</f>
        <v/>
      </c>
      <c r="R316" s="56">
        <f>R308+R309+R310+R312+R313+R314+R315</f>
        <v/>
      </c>
    </row>
    <row r="317">
      <c r="B317" s="10" t="inlineStr">
        <is>
          <t>Plus: interest and other income, after tax</t>
        </is>
      </c>
      <c r="C317" s="7" t="inlineStr">
        <is>
          <t>$mm</t>
        </is>
      </c>
      <c r="I317" s="59">
        <f>(I293+I294)*(1-I298)</f>
        <v/>
      </c>
      <c r="J317" s="47">
        <f>(J293+J294)*(1-J298)</f>
        <v/>
      </c>
      <c r="K317" s="47">
        <f>(K293+K294)*(1-K298)</f>
        <v/>
      </c>
      <c r="L317" s="47">
        <f>(L293+L294)*(1-L298)</f>
        <v/>
      </c>
      <c r="M317" s="47">
        <f>(M293+M294)*(1-M298)</f>
        <v/>
      </c>
      <c r="N317" s="47">
        <f>(N293+N294)*(1-N298)</f>
        <v/>
      </c>
      <c r="O317" s="47">
        <f>(O293+O294)*(1-O298)</f>
        <v/>
      </c>
      <c r="P317" s="47">
        <f>(P293+P294)*(1-P298)</f>
        <v/>
      </c>
      <c r="Q317" s="47">
        <f>(Q293+Q294)*(1-Q298)</f>
        <v/>
      </c>
      <c r="R317" s="47">
        <f>(R293+R294)*(1-R298)</f>
        <v/>
      </c>
    </row>
    <row r="318">
      <c r="B318" s="6" t="inlineStr">
        <is>
          <t>Free cash flow</t>
        </is>
      </c>
      <c r="C318" s="7" t="inlineStr">
        <is>
          <t>$mm</t>
        </is>
      </c>
      <c r="F318" s="13">
        <f>'Model'!F61</f>
        <v/>
      </c>
      <c r="G318" s="13">
        <f>'Model'!G61</f>
        <v/>
      </c>
      <c r="H318" s="13">
        <f>'Model'!H61</f>
        <v/>
      </c>
      <c r="I318" s="72">
        <f>I316+I317</f>
        <v/>
      </c>
      <c r="J318" s="46">
        <f>J316+J317</f>
        <v/>
      </c>
      <c r="K318" s="46">
        <f>K316+K317</f>
        <v/>
      </c>
      <c r="L318" s="46">
        <f>L316+L317</f>
        <v/>
      </c>
      <c r="M318" s="46">
        <f>M316+M317</f>
        <v/>
      </c>
      <c r="N318" s="46">
        <f>N316+N317</f>
        <v/>
      </c>
      <c r="O318" s="46">
        <f>O316+O317</f>
        <v/>
      </c>
      <c r="P318" s="46">
        <f>P316+P317</f>
        <v/>
      </c>
      <c r="Q318" s="46">
        <f>Q316+Q317</f>
        <v/>
      </c>
      <c r="R318" s="46">
        <f>R316+R317</f>
        <v/>
      </c>
    </row>
    <row r="319">
      <c r="B319" s="30" t="inlineStr">
        <is>
          <t>FCF margin</t>
        </is>
      </c>
      <c r="C319" s="7" t="inlineStr">
        <is>
          <t>%</t>
        </is>
      </c>
      <c r="F319" s="77">
        <f>'Model'!F62</f>
        <v/>
      </c>
      <c r="G319" s="77">
        <f>'Model'!G62</f>
        <v/>
      </c>
      <c r="H319" s="77">
        <f>'Model'!H62</f>
        <v/>
      </c>
      <c r="I319" s="64">
        <f>I318/I273</f>
        <v/>
      </c>
      <c r="J319" s="60">
        <f>J318/J273</f>
        <v/>
      </c>
      <c r="K319" s="60">
        <f>K318/K273</f>
        <v/>
      </c>
      <c r="L319" s="60">
        <f>L318/L273</f>
        <v/>
      </c>
      <c r="M319" s="60">
        <f>M318/M273</f>
        <v/>
      </c>
      <c r="N319" s="60">
        <f>N318/N273</f>
        <v/>
      </c>
      <c r="O319" s="60">
        <f>O318/O273</f>
        <v/>
      </c>
      <c r="P319" s="60">
        <f>P318/P273</f>
        <v/>
      </c>
      <c r="Q319" s="60">
        <f>Q318/Q273</f>
        <v/>
      </c>
      <c r="R319" s="60">
        <f>R318/R273</f>
        <v/>
      </c>
    </row>
    <row r="320">
      <c r="B320" s="30" t="inlineStr">
        <is>
          <t>FCF ex one-offs</t>
        </is>
      </c>
      <c r="C320" s="7" t="inlineStr">
        <is>
          <t>$mm</t>
        </is>
      </c>
      <c r="F320" s="79">
        <f>'Model'!F63</f>
        <v/>
      </c>
      <c r="G320" s="79">
        <f>'Model'!G63</f>
        <v/>
      </c>
      <c r="H320" s="79">
        <f>'Model'!H63</f>
        <v/>
      </c>
      <c r="I320" s="80">
        <f>I318-I295*(1-I298)</f>
        <v/>
      </c>
      <c r="J320" s="67">
        <f>J318-J295*(1-J298)</f>
        <v/>
      </c>
      <c r="K320" s="67">
        <f>K318-K295*(1-K298)</f>
        <v/>
      </c>
      <c r="L320" s="67">
        <f>L318-L295*(1-L298)</f>
        <v/>
      </c>
      <c r="M320" s="67">
        <f>M318-M295*(1-M298)</f>
        <v/>
      </c>
      <c r="N320" s="67">
        <f>N318-N295*(1-N298)</f>
        <v/>
      </c>
      <c r="O320" s="67">
        <f>O318-O295*(1-O298)</f>
        <v/>
      </c>
      <c r="P320" s="67">
        <f>P318-P295*(1-P298)</f>
        <v/>
      </c>
      <c r="Q320" s="67">
        <f>Q318-Q295*(1-Q298)</f>
        <v/>
      </c>
      <c r="R320" s="67">
        <f>R318-R295*(1-R298)</f>
        <v/>
      </c>
    </row>
    <row r="321">
      <c r="B321" s="10" t="inlineStr">
        <is>
          <t>Cash, beginning of year</t>
        </is>
      </c>
      <c r="C321" s="7" t="inlineStr">
        <is>
          <t>$mm</t>
        </is>
      </c>
      <c r="I321" s="59">
        <f>H327</f>
        <v/>
      </c>
      <c r="J321" s="47">
        <f>I327</f>
        <v/>
      </c>
      <c r="K321" s="47">
        <f>J327</f>
        <v/>
      </c>
      <c r="L321" s="47">
        <f>K327</f>
        <v/>
      </c>
      <c r="M321" s="47">
        <f>L327</f>
        <v/>
      </c>
      <c r="N321" s="47">
        <f>M327</f>
        <v/>
      </c>
      <c r="O321" s="47">
        <f>N327</f>
        <v/>
      </c>
      <c r="P321" s="47">
        <f>O327</f>
        <v/>
      </c>
      <c r="Q321" s="47">
        <f>P327</f>
        <v/>
      </c>
      <c r="R321" s="47">
        <f>Q327</f>
        <v/>
      </c>
    </row>
    <row r="322">
      <c r="B322" s="10" t="inlineStr">
        <is>
          <t>Cash held  (months of revenue)</t>
        </is>
      </c>
      <c r="C322" s="7" t="inlineStr">
        <is>
          <t>$mm</t>
        </is>
      </c>
      <c r="I322" s="32">
        <f>I273*'Drivers'!$D$32/12</f>
        <v/>
      </c>
      <c r="J322" s="12">
        <f>J273*'Drivers'!$D$32/12</f>
        <v/>
      </c>
      <c r="K322" s="12">
        <f>K273*'Drivers'!$D$32/12</f>
        <v/>
      </c>
      <c r="L322" s="12">
        <f>L273*'Drivers'!$D$32/12</f>
        <v/>
      </c>
      <c r="M322" s="12">
        <f>M273*'Drivers'!$D$32/12</f>
        <v/>
      </c>
      <c r="N322" s="12">
        <f>N273*'Drivers'!$D$32/12</f>
        <v/>
      </c>
      <c r="O322" s="12">
        <f>O273*'Drivers'!$D$32/12</f>
        <v/>
      </c>
      <c r="P322" s="12">
        <f>P273*'Drivers'!$D$32/12</f>
        <v/>
      </c>
      <c r="Q322" s="12">
        <f>Q273*'Drivers'!$D$32/12</f>
        <v/>
      </c>
      <c r="R322" s="12">
        <f>R273*'Drivers'!$D$32/12</f>
        <v/>
      </c>
    </row>
    <row r="323">
      <c r="B323" s="10" t="inlineStr">
        <is>
          <t>Gross debt, end of year</t>
        </is>
      </c>
      <c r="C323" s="7" t="inlineStr">
        <is>
          <t>$mm</t>
        </is>
      </c>
      <c r="F323" s="12">
        <f>'Model'!F66</f>
        <v/>
      </c>
      <c r="G323" s="12">
        <f>'Model'!G66</f>
        <v/>
      </c>
      <c r="H323" s="12">
        <f>'Model'!H66</f>
        <v/>
      </c>
      <c r="I323" s="32">
        <f>'Drivers'!I$65</f>
        <v/>
      </c>
      <c r="J323" s="12">
        <f>'Drivers'!J$65</f>
        <v/>
      </c>
      <c r="K323" s="12">
        <f>'Drivers'!K$65</f>
        <v/>
      </c>
      <c r="L323" s="12">
        <f>'Drivers'!L$65</f>
        <v/>
      </c>
      <c r="M323" s="12">
        <f>'Drivers'!M$65</f>
        <v/>
      </c>
      <c r="N323" s="12">
        <f>'Drivers'!N$65</f>
        <v/>
      </c>
      <c r="O323" s="12">
        <f>'Drivers'!O$65</f>
        <v/>
      </c>
      <c r="P323" s="12">
        <f>'Drivers'!P$65</f>
        <v/>
      </c>
      <c r="Q323" s="12">
        <f>'Drivers'!Q$65</f>
        <v/>
      </c>
      <c r="R323" s="12">
        <f>'Drivers'!R$65</f>
        <v/>
      </c>
    </row>
    <row r="324">
      <c r="B324" s="10" t="inlineStr">
        <is>
          <t>Debt issued / (repaid)</t>
        </is>
      </c>
      <c r="C324" s="7" t="inlineStr">
        <is>
          <t>$mm</t>
        </is>
      </c>
      <c r="I324" s="59">
        <f>I323-H323</f>
        <v/>
      </c>
      <c r="J324" s="47">
        <f>J323-I323</f>
        <v/>
      </c>
      <c r="K324" s="47">
        <f>K323-J323</f>
        <v/>
      </c>
      <c r="L324" s="47">
        <f>L323-K323</f>
        <v/>
      </c>
      <c r="M324" s="47">
        <f>M323-L323</f>
        <v/>
      </c>
      <c r="N324" s="47">
        <f>N323-M323</f>
        <v/>
      </c>
      <c r="O324" s="47">
        <f>O323-N323</f>
        <v/>
      </c>
      <c r="P324" s="47">
        <f>P323-O323</f>
        <v/>
      </c>
      <c r="Q324" s="47">
        <f>Q323-P323</f>
        <v/>
      </c>
      <c r="R324" s="47">
        <f>R323-Q323</f>
        <v/>
      </c>
    </row>
    <row r="325">
      <c r="B325" s="10" t="inlineStr">
        <is>
          <t>Share repurchases  (cash above the holding level)</t>
        </is>
      </c>
      <c r="C325" s="7" t="inlineStr">
        <is>
          <t>$mm</t>
        </is>
      </c>
      <c r="F325" s="12">
        <f>'Model'!F68</f>
        <v/>
      </c>
      <c r="G325" s="12">
        <f>'Model'!G68</f>
        <v/>
      </c>
      <c r="H325" s="12">
        <f>'Model'!H68</f>
        <v/>
      </c>
      <c r="I325" s="59">
        <f>-MAX(0,I321+I318+I324-I322)</f>
        <v/>
      </c>
      <c r="J325" s="47">
        <f>-MAX(0,J321+J318+J324-J322)</f>
        <v/>
      </c>
      <c r="K325" s="47">
        <f>-MAX(0,K321+K318+K324-K322)</f>
        <v/>
      </c>
      <c r="L325" s="47">
        <f>-MAX(0,L321+L318+L324-L322)</f>
        <v/>
      </c>
      <c r="M325" s="47">
        <f>-MAX(0,M321+M318+M324-M322)</f>
        <v/>
      </c>
      <c r="N325" s="47">
        <f>-MAX(0,N321+N318+N324-N322)</f>
        <v/>
      </c>
      <c r="O325" s="47">
        <f>-MAX(0,O321+O318+O324-O322)</f>
        <v/>
      </c>
      <c r="P325" s="47">
        <f>-MAX(0,P321+P318+P324-P322)</f>
        <v/>
      </c>
      <c r="Q325" s="47">
        <f>-MAX(0,Q321+Q318+Q324-Q322)</f>
        <v/>
      </c>
      <c r="R325" s="47">
        <f>-MAX(0,R321+R318+R324-R322)</f>
        <v/>
      </c>
    </row>
    <row r="326">
      <c r="B326" s="30" t="inlineStr">
        <is>
          <t>repurchase price</t>
        </is>
      </c>
      <c r="C326" s="7" t="inlineStr">
        <is>
          <t>$</t>
        </is>
      </c>
      <c r="I326" s="86">
        <f>'Drivers'!$D$34</f>
        <v/>
      </c>
      <c r="J326" s="87">
        <f>'Drivers'!$D$7*(1+'Drivers'!$D$35)^(J$263-$I$263)</f>
        <v/>
      </c>
      <c r="K326" s="87">
        <f>'Drivers'!$D$7*(1+'Drivers'!$D$35)^(K$263-$I$263)</f>
        <v/>
      </c>
      <c r="L326" s="87">
        <f>'Drivers'!$D$7*(1+'Drivers'!$D$35)^(L$263-$I$263)</f>
        <v/>
      </c>
      <c r="M326" s="87">
        <f>'Drivers'!$D$7*(1+'Drivers'!$D$35)^(M$263-$I$263)</f>
        <v/>
      </c>
      <c r="N326" s="87">
        <f>'Drivers'!$D$7*(1+'Drivers'!$D$35)^(N$263-$I$263)</f>
        <v/>
      </c>
      <c r="O326" s="87">
        <f>'Drivers'!$D$7*(1+'Drivers'!$D$35)^(O$263-$I$263)</f>
        <v/>
      </c>
      <c r="P326" s="87">
        <f>'Drivers'!$D$7*(1+'Drivers'!$D$35)^(P$263-$I$263)</f>
        <v/>
      </c>
      <c r="Q326" s="87">
        <f>'Drivers'!$D$7*(1+'Drivers'!$D$35)^(Q$263-$I$263)</f>
        <v/>
      </c>
      <c r="R326" s="87">
        <f>'Drivers'!$D$7*(1+'Drivers'!$D$35)^(R$263-$I$263)</f>
        <v/>
      </c>
    </row>
    <row r="327">
      <c r="B327" s="10" t="inlineStr">
        <is>
          <t>Cash, end of year</t>
        </is>
      </c>
      <c r="C327" s="7" t="inlineStr">
        <is>
          <t>$mm</t>
        </is>
      </c>
      <c r="F327" s="12">
        <f>'Model'!F70</f>
        <v/>
      </c>
      <c r="G327" s="12">
        <f>'Model'!G70</f>
        <v/>
      </c>
      <c r="H327" s="12">
        <f>'Model'!H70</f>
        <v/>
      </c>
      <c r="I327" s="59">
        <f>I321+I318+I324+I325</f>
        <v/>
      </c>
      <c r="J327" s="47">
        <f>J321+J318+J324+J325</f>
        <v/>
      </c>
      <c r="K327" s="47">
        <f>K321+K318+K324+K325</f>
        <v/>
      </c>
      <c r="L327" s="47">
        <f>L321+L318+L324+L325</f>
        <v/>
      </c>
      <c r="M327" s="47">
        <f>M321+M318+M324+M325</f>
        <v/>
      </c>
      <c r="N327" s="47">
        <f>N321+N318+N324+N325</f>
        <v/>
      </c>
      <c r="O327" s="47">
        <f>O321+O318+O324+O325</f>
        <v/>
      </c>
      <c r="P327" s="47">
        <f>P321+P318+P324+P325</f>
        <v/>
      </c>
      <c r="Q327" s="47">
        <f>Q321+Q318+Q324+Q325</f>
        <v/>
      </c>
      <c r="R327" s="47">
        <f>R321+R318+R324+R325</f>
        <v/>
      </c>
    </row>
    <row r="328">
      <c r="B328" s="6" t="inlineStr">
        <is>
          <t>Net debt, end of year</t>
        </is>
      </c>
      <c r="C328" s="7" t="inlineStr">
        <is>
          <t>$mm</t>
        </is>
      </c>
      <c r="F328" s="62">
        <f>'Model'!F71</f>
        <v/>
      </c>
      <c r="G328" s="62">
        <f>'Model'!G71</f>
        <v/>
      </c>
      <c r="H328" s="62">
        <f>'Model'!H71</f>
        <v/>
      </c>
      <c r="I328" s="61">
        <f>I323-I327</f>
        <v/>
      </c>
      <c r="J328" s="56">
        <f>J323-J327</f>
        <v/>
      </c>
      <c r="K328" s="56">
        <f>K323-K327</f>
        <v/>
      </c>
      <c r="L328" s="56">
        <f>L323-L327</f>
        <v/>
      </c>
      <c r="M328" s="56">
        <f>M323-M327</f>
        <v/>
      </c>
      <c r="N328" s="56">
        <f>N323-N327</f>
        <v/>
      </c>
      <c r="O328" s="56">
        <f>O323-O327</f>
        <v/>
      </c>
      <c r="P328" s="56">
        <f>P323-P327</f>
        <v/>
      </c>
      <c r="Q328" s="56">
        <f>Q323-Q327</f>
        <v/>
      </c>
      <c r="R328" s="56">
        <f>R323-R327</f>
        <v/>
      </c>
    </row>
    <row r="329">
      <c r="B329" s="30" t="inlineStr">
        <is>
          <t>Net debt / EBITDA</t>
        </is>
      </c>
      <c r="C329" s="7" t="inlineStr">
        <is>
          <t>x</t>
        </is>
      </c>
      <c r="F329" s="108">
        <f>'Model'!F72</f>
        <v/>
      </c>
      <c r="G329" s="108">
        <f>'Model'!G72</f>
        <v/>
      </c>
      <c r="H329" s="108">
        <f>'Model'!H72</f>
        <v/>
      </c>
      <c r="I329" s="89">
        <f>I328/(I290+I312)</f>
        <v/>
      </c>
      <c r="J329" s="88">
        <f>J328/(J290+J312)</f>
        <v/>
      </c>
      <c r="K329" s="88">
        <f>K328/(K290+K312)</f>
        <v/>
      </c>
      <c r="L329" s="88">
        <f>L328/(L290+L312)</f>
        <v/>
      </c>
      <c r="M329" s="88">
        <f>M328/(M290+M312)</f>
        <v/>
      </c>
      <c r="N329" s="88">
        <f>N328/(N290+N312)</f>
        <v/>
      </c>
      <c r="O329" s="88">
        <f>O328/(O290+O312)</f>
        <v/>
      </c>
      <c r="P329" s="88">
        <f>P328/(P290+P312)</f>
        <v/>
      </c>
      <c r="Q329" s="88">
        <f>Q328/(Q290+Q312)</f>
        <v/>
      </c>
      <c r="R329" s="88">
        <f>R328/(R290+R312)</f>
        <v/>
      </c>
    </row>
    <row r="330">
      <c r="B330" s="10" t="inlineStr">
        <is>
          <t>Diluted shares, end of year</t>
        </is>
      </c>
      <c r="C330" s="7" t="inlineStr">
        <is>
          <t>mm</t>
        </is>
      </c>
      <c r="F330" s="11">
        <f>'Model'!F73</f>
        <v/>
      </c>
      <c r="G330" s="11">
        <f>'Model'!G73</f>
        <v/>
      </c>
      <c r="H330" s="11">
        <f>'Model'!H73</f>
        <v/>
      </c>
      <c r="I330" s="35">
        <f>H330*(1+'Drivers'!$D$33)+I325/I326</f>
        <v/>
      </c>
      <c r="J330" s="11">
        <f>I330*(1+'Drivers'!$D$33)+J325/J326</f>
        <v/>
      </c>
      <c r="K330" s="11">
        <f>J330*(1+'Drivers'!$D$33)+K325/K326</f>
        <v/>
      </c>
      <c r="L330" s="11">
        <f>K330*(1+'Drivers'!$D$33)+L325/L326</f>
        <v/>
      </c>
      <c r="M330" s="11">
        <f>L330*(1+'Drivers'!$D$33)+M325/M326</f>
        <v/>
      </c>
      <c r="N330" s="11">
        <f>M330*(1+'Drivers'!$D$33)+N325/N326</f>
        <v/>
      </c>
      <c r="O330" s="11">
        <f>N330*(1+'Drivers'!$D$33)+O325/O326</f>
        <v/>
      </c>
      <c r="P330" s="11">
        <f>O330*(1+'Drivers'!$D$33)+P325/P326</f>
        <v/>
      </c>
      <c r="Q330" s="11">
        <f>P330*(1+'Drivers'!$D$33)+Q325/Q326</f>
        <v/>
      </c>
      <c r="R330" s="11">
        <f>Q330*(1+'Drivers'!$D$33)+R325/R326</f>
        <v/>
      </c>
    </row>
    <row r="331">
      <c r="B331" s="30" t="inlineStr">
        <is>
          <t>net share reduction</t>
        </is>
      </c>
      <c r="C331" s="7" t="inlineStr">
        <is>
          <t>%</t>
        </is>
      </c>
      <c r="G331" s="77">
        <f>'Model'!G74</f>
        <v/>
      </c>
      <c r="H331" s="77">
        <f>'Model'!H74</f>
        <v/>
      </c>
      <c r="I331" s="64">
        <f>1-I330/H330</f>
        <v/>
      </c>
      <c r="J331" s="60">
        <f>1-J330/I330</f>
        <v/>
      </c>
      <c r="K331" s="60">
        <f>1-K330/J330</f>
        <v/>
      </c>
      <c r="L331" s="60">
        <f>1-L330/K330</f>
        <v/>
      </c>
      <c r="M331" s="60">
        <f>1-M330/L330</f>
        <v/>
      </c>
      <c r="N331" s="60">
        <f>1-N330/M330</f>
        <v/>
      </c>
      <c r="O331" s="60">
        <f>1-O330/N330</f>
        <v/>
      </c>
      <c r="P331" s="60">
        <f>1-P330/O330</f>
        <v/>
      </c>
      <c r="Q331" s="60">
        <f>1-Q330/P330</f>
        <v/>
      </c>
      <c r="R331" s="60">
        <f>1-R330/Q330</f>
        <v/>
      </c>
    </row>
    <row r="332">
      <c r="B332" s="2" t="inlineStr">
        <is>
          <t>Content obligations, year end (memo)</t>
        </is>
      </c>
      <c r="C332" s="7" t="inlineStr">
        <is>
          <t>$mm</t>
        </is>
      </c>
      <c r="F332" s="79">
        <f>'Model'!F75</f>
        <v/>
      </c>
      <c r="G332" s="79">
        <f>'Model'!G75</f>
        <v/>
      </c>
      <c r="H332" s="79">
        <f>'Model'!H75</f>
        <v/>
      </c>
      <c r="I332" s="65" t="n"/>
    </row>
    <row r="334">
      <c r="B334" s="4" t="inlineStr">
        <is>
          <t>DISCOUNTED CASH FLOW  |  BULL CASE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</row>
    <row r="335">
      <c r="B335" s="26" t="inlineStr">
        <is>
          <t>Fiscal year (calendar)</t>
        </is>
      </c>
      <c r="C335" s="18" t="n"/>
      <c r="D335" s="18" t="n"/>
      <c r="E335" s="18" t="n"/>
      <c r="F335" s="27" t="n">
        <v>2023</v>
      </c>
      <c r="G335" s="27" t="n">
        <v>2024</v>
      </c>
      <c r="H335" s="27" t="n">
        <v>2025</v>
      </c>
      <c r="I335" s="75" t="n">
        <v>2026</v>
      </c>
      <c r="J335" s="28" t="n">
        <v>2027</v>
      </c>
      <c r="K335" s="28" t="n">
        <v>2028</v>
      </c>
      <c r="L335" s="28" t="n">
        <v>2029</v>
      </c>
      <c r="M335" s="28" t="n">
        <v>2030</v>
      </c>
      <c r="N335" s="28" t="n">
        <v>2031</v>
      </c>
      <c r="O335" s="28" t="n">
        <v>2032</v>
      </c>
      <c r="P335" s="28" t="n">
        <v>2033</v>
      </c>
      <c r="Q335" s="28" t="n">
        <v>2034</v>
      </c>
      <c r="R335" s="28" t="n">
        <v>2035</v>
      </c>
    </row>
    <row r="336">
      <c r="B336" s="10" t="inlineStr">
        <is>
          <t>Unlevered free cash flow</t>
        </is>
      </c>
      <c r="C336" s="7" t="inlineStr">
        <is>
          <t>$mm</t>
        </is>
      </c>
      <c r="I336" s="59">
        <f>I316</f>
        <v/>
      </c>
      <c r="J336" s="47">
        <f>J316</f>
        <v/>
      </c>
      <c r="K336" s="47">
        <f>K316</f>
        <v/>
      </c>
      <c r="L336" s="47">
        <f>L316</f>
        <v/>
      </c>
      <c r="M336" s="47">
        <f>M316</f>
        <v/>
      </c>
      <c r="N336" s="47">
        <f>N316</f>
        <v/>
      </c>
      <c r="O336" s="47">
        <f>O316</f>
        <v/>
      </c>
      <c r="P336" s="47">
        <f>P316</f>
        <v/>
      </c>
      <c r="Q336" s="47">
        <f>Q316</f>
        <v/>
      </c>
      <c r="R336" s="47">
        <f>R316</f>
        <v/>
      </c>
    </row>
    <row r="337">
      <c r="B337" s="2" t="inlineStr">
        <is>
          <t>Share of the year after the balance-sheet date</t>
        </is>
      </c>
      <c r="C337" s="7" t="inlineStr">
        <is>
          <t>x</t>
        </is>
      </c>
      <c r="I337" s="90">
        <f>('Drivers'!$D$10-'Drivers'!$D$9)/365</f>
        <v/>
      </c>
      <c r="J337" s="91">
        <f>1</f>
        <v/>
      </c>
      <c r="K337" s="91">
        <f>1</f>
        <v/>
      </c>
      <c r="L337" s="91">
        <f>1</f>
        <v/>
      </c>
      <c r="M337" s="91">
        <f>1</f>
        <v/>
      </c>
      <c r="N337" s="91">
        <f>1</f>
        <v/>
      </c>
      <c r="O337" s="91">
        <f>1</f>
        <v/>
      </c>
      <c r="P337" s="91">
        <f>1</f>
        <v/>
      </c>
      <c r="Q337" s="91">
        <f>1</f>
        <v/>
      </c>
      <c r="R337" s="91">
        <f>1</f>
        <v/>
      </c>
    </row>
    <row r="338">
      <c r="B338" s="10" t="inlineStr">
        <is>
          <t>Cash flow counted</t>
        </is>
      </c>
      <c r="C338" s="7" t="inlineStr">
        <is>
          <t>$mm</t>
        </is>
      </c>
      <c r="I338" s="59">
        <f>I336*I337</f>
        <v/>
      </c>
      <c r="J338" s="47">
        <f>J336*J337</f>
        <v/>
      </c>
      <c r="K338" s="47">
        <f>K336*K337</f>
        <v/>
      </c>
      <c r="L338" s="47">
        <f>L336*L337</f>
        <v/>
      </c>
      <c r="M338" s="47">
        <f>M336*M337</f>
        <v/>
      </c>
      <c r="N338" s="47">
        <f>N336*N337</f>
        <v/>
      </c>
      <c r="O338" s="47">
        <f>O336*O337</f>
        <v/>
      </c>
      <c r="P338" s="47">
        <f>P336*P337</f>
        <v/>
      </c>
      <c r="Q338" s="47">
        <f>Q336*Q337</f>
        <v/>
      </c>
      <c r="R338" s="47">
        <f>R336*R337</f>
        <v/>
      </c>
    </row>
    <row r="339">
      <c r="B339" s="2" t="inlineStr">
        <is>
          <t>Discount period, mid-period</t>
        </is>
      </c>
      <c r="C339" s="7" t="inlineStr">
        <is>
          <t>yrs</t>
        </is>
      </c>
      <c r="I339" s="90">
        <f>(('Drivers'!$D$10-'Drivers'!$D$9)/2+('Drivers'!$D$9-'Drivers'!$D$8))/365</f>
        <v/>
      </c>
      <c r="J339" s="92">
        <f>('Drivers'!$D$10-'Drivers'!$D$8)/365+0.5</f>
        <v/>
      </c>
      <c r="K339" s="91">
        <f>J339+1</f>
        <v/>
      </c>
      <c r="L339" s="91">
        <f>K339+1</f>
        <v/>
      </c>
      <c r="M339" s="91">
        <f>L339+1</f>
        <v/>
      </c>
      <c r="N339" s="91">
        <f>M339+1</f>
        <v/>
      </c>
      <c r="O339" s="91">
        <f>N339+1</f>
        <v/>
      </c>
      <c r="P339" s="91">
        <f>O339+1</f>
        <v/>
      </c>
      <c r="Q339" s="91">
        <f>P339+1</f>
        <v/>
      </c>
      <c r="R339" s="91">
        <f>Q339+1</f>
        <v/>
      </c>
    </row>
    <row r="340">
      <c r="B340" s="2" t="inlineStr">
        <is>
          <t>Discount factor</t>
        </is>
      </c>
      <c r="C340" s="7" t="inlineStr">
        <is>
          <t>x</t>
        </is>
      </c>
      <c r="I340" s="90">
        <f>1/(1+'Drivers'!$D$29)^I339</f>
        <v/>
      </c>
      <c r="J340" s="92">
        <f>1/(1+'Drivers'!$D$29)^J339</f>
        <v/>
      </c>
      <c r="K340" s="92">
        <f>1/(1+'Drivers'!$D$29)^K339</f>
        <v/>
      </c>
      <c r="L340" s="92">
        <f>1/(1+'Drivers'!$D$29)^L339</f>
        <v/>
      </c>
      <c r="M340" s="92">
        <f>1/(1+'Drivers'!$D$29)^M339</f>
        <v/>
      </c>
      <c r="N340" s="92">
        <f>1/(1+'Drivers'!$D$29)^N339</f>
        <v/>
      </c>
      <c r="O340" s="92">
        <f>1/(1+'Drivers'!$D$29)^O339</f>
        <v/>
      </c>
      <c r="P340" s="92">
        <f>1/(1+'Drivers'!$D$29)^P339</f>
        <v/>
      </c>
      <c r="Q340" s="92">
        <f>1/(1+'Drivers'!$D$29)^Q339</f>
        <v/>
      </c>
      <c r="R340" s="92">
        <f>1/(1+'Drivers'!$D$29)^R339</f>
        <v/>
      </c>
    </row>
    <row r="341">
      <c r="B341" s="10" t="inlineStr">
        <is>
          <t>Present value</t>
        </is>
      </c>
      <c r="C341" s="7" t="inlineStr">
        <is>
          <t>$mm</t>
        </is>
      </c>
      <c r="I341" s="59">
        <f>I338*I340</f>
        <v/>
      </c>
      <c r="J341" s="47">
        <f>J338*J340</f>
        <v/>
      </c>
      <c r="K341" s="47">
        <f>K338*K340</f>
        <v/>
      </c>
      <c r="L341" s="47">
        <f>L338*L340</f>
        <v/>
      </c>
      <c r="M341" s="47">
        <f>M338*M340</f>
        <v/>
      </c>
      <c r="N341" s="47">
        <f>N338*N340</f>
        <v/>
      </c>
      <c r="O341" s="47">
        <f>O338*O340</f>
        <v/>
      </c>
      <c r="P341" s="47">
        <f>P338*P340</f>
        <v/>
      </c>
      <c r="Q341" s="47">
        <f>Q338*Q340</f>
        <v/>
      </c>
      <c r="R341" s="47">
        <f>R338*R340</f>
        <v/>
      </c>
    </row>
    <row r="343">
      <c r="B343" s="10" t="inlineStr">
        <is>
          <t>PV of forecast cash flows</t>
        </is>
      </c>
      <c r="C343" s="7" t="inlineStr">
        <is>
          <t>$mm</t>
        </is>
      </c>
      <c r="D343" s="47">
        <f>SUM(I341:R341)</f>
        <v/>
      </c>
    </row>
    <row r="344">
      <c r="B344" s="10" t="inlineStr">
        <is>
          <t>Terminal growth</t>
        </is>
      </c>
      <c r="C344" s="7" t="inlineStr">
        <is>
          <t>%</t>
        </is>
      </c>
      <c r="D344" s="93">
        <f>'Drivers'!$H$44</f>
        <v/>
      </c>
    </row>
    <row r="345">
      <c r="B345" s="10" t="inlineStr">
        <is>
          <t>Terminal value at FY2035</t>
        </is>
      </c>
      <c r="C345" s="7" t="inlineStr">
        <is>
          <t>$mm</t>
        </is>
      </c>
      <c r="D345" s="47">
        <f>R336*(1+D344)/('Drivers'!$D$29-D344)</f>
        <v/>
      </c>
    </row>
    <row r="346">
      <c r="B346" s="10" t="inlineStr">
        <is>
          <t>PV of terminal value</t>
        </is>
      </c>
      <c r="C346" s="7" t="inlineStr">
        <is>
          <t>$mm</t>
        </is>
      </c>
      <c r="D346" s="47">
        <f>D345*R340</f>
        <v/>
      </c>
    </row>
    <row r="347">
      <c r="B347" s="6" t="inlineStr">
        <is>
          <t>Enterprise value</t>
        </is>
      </c>
      <c r="C347" s="7" t="inlineStr">
        <is>
          <t>$mm</t>
        </is>
      </c>
      <c r="D347" s="56">
        <f>D343+D346</f>
        <v/>
      </c>
    </row>
    <row r="348">
      <c r="B348" s="10" t="inlineStr">
        <is>
          <t>Less: net debt at 9/30/2026</t>
        </is>
      </c>
      <c r="C348" s="7" t="inlineStr">
        <is>
          <t>$mm</t>
        </is>
      </c>
      <c r="D348" s="12">
        <f>-'Drivers'!$D$16</f>
        <v/>
      </c>
    </row>
    <row r="349">
      <c r="B349" s="6" t="inlineStr">
        <is>
          <t>Equity value</t>
        </is>
      </c>
      <c r="C349" s="7" t="inlineStr">
        <is>
          <t>$mm</t>
        </is>
      </c>
      <c r="D349" s="46">
        <f>D347+D348</f>
        <v/>
      </c>
    </row>
    <row r="350">
      <c r="B350" s="10" t="inlineStr">
        <is>
          <t>Diluted shares</t>
        </is>
      </c>
      <c r="C350" s="7" t="inlineStr">
        <is>
          <t>mm</t>
        </is>
      </c>
      <c r="D350" s="11">
        <f>'Drivers'!$D$13</f>
        <v/>
      </c>
    </row>
    <row r="351">
      <c r="B351" s="6" t="inlineStr">
        <is>
          <t>DCF value per share</t>
        </is>
      </c>
      <c r="C351" s="7" t="inlineStr">
        <is>
          <t>$</t>
        </is>
      </c>
      <c r="D351" s="94">
        <f>D349/D350</f>
        <v/>
      </c>
    </row>
    <row r="352">
      <c r="B352" s="10" t="inlineStr">
        <is>
          <t>Upside / (downside) to price</t>
        </is>
      </c>
      <c r="C352" s="7" t="inlineStr">
        <is>
          <t>%</t>
        </is>
      </c>
      <c r="D352" s="36">
        <f>D351/'Drivers'!$D$7-1</f>
        <v/>
      </c>
    </row>
    <row r="353">
      <c r="B353" s="10" t="inlineStr">
        <is>
          <t>Terminal value, % of enterprise value</t>
        </is>
      </c>
      <c r="C353" s="7" t="inlineStr">
        <is>
          <t>%</t>
        </is>
      </c>
      <c r="D353" s="36">
        <f>D346/D347</f>
        <v/>
      </c>
    </row>
    <row r="354">
      <c r="B354" s="10" t="inlineStr">
        <is>
          <t>Implied terminal EV / EBITDA</t>
        </is>
      </c>
      <c r="C354" s="7" t="inlineStr">
        <is>
          <t>x</t>
        </is>
      </c>
      <c r="D354" s="55">
        <f>D345/(R290+R312)</f>
        <v/>
      </c>
    </row>
    <row r="355">
      <c r="B355" s="10" t="inlineStr">
        <is>
          <t>P/E at DCF value on FY27E EPS</t>
        </is>
      </c>
      <c r="C355" s="7" t="inlineStr">
        <is>
          <t>x</t>
        </is>
      </c>
      <c r="D355" s="55">
        <f>D351/J304</f>
        <v/>
      </c>
    </row>
    <row r="356">
      <c r="B356" s="10" t="inlineStr">
        <is>
          <t>EV / EBIT today on FY26E</t>
        </is>
      </c>
      <c r="C356" s="7" t="inlineStr">
        <is>
          <t>x</t>
        </is>
      </c>
      <c r="D356" s="55">
        <f>'Drivers'!$D$19/I290</f>
        <v/>
      </c>
    </row>
    <row r="358">
      <c r="B358" s="4" t="inlineStr">
        <is>
          <t>PRICE PATH  |  BULL CASE</t>
        </is>
      </c>
      <c r="C358" s="5" t="n"/>
      <c r="D358" s="5" t="n"/>
      <c r="E358" s="5" t="n"/>
    </row>
    <row r="359">
      <c r="B359" s="10" t="inlineStr">
        <is>
          <t>Exit P/E (NTM)</t>
        </is>
      </c>
      <c r="C359" s="7" t="inlineStr">
        <is>
          <t>x</t>
        </is>
      </c>
      <c r="D359" s="14">
        <f>'Drivers'!$H$45</f>
        <v/>
      </c>
    </row>
    <row r="360">
      <c r="B360" s="10" t="inlineStr">
        <is>
          <t>Years to exit 1 (end of 2028)</t>
        </is>
      </c>
      <c r="C360" s="7" t="inlineStr">
        <is>
          <t>yrs</t>
        </is>
      </c>
      <c r="D360" s="95">
        <f>('Drivers'!$D$11-'Drivers'!$D$8)/365</f>
        <v/>
      </c>
    </row>
    <row r="361">
      <c r="B361" s="10" t="inlineStr">
        <is>
          <t>FY29E EPS</t>
        </is>
      </c>
      <c r="C361" s="7" t="inlineStr">
        <is>
          <t>$</t>
        </is>
      </c>
      <c r="D361" s="100">
        <f>L304</f>
        <v/>
      </c>
    </row>
    <row r="362">
      <c r="B362" s="6" t="inlineStr">
        <is>
          <t>Price at the end of 2028</t>
        </is>
      </c>
      <c r="C362" s="7" t="inlineStr">
        <is>
          <t>$</t>
        </is>
      </c>
      <c r="D362" s="94">
        <f>D359*D361</f>
        <v/>
      </c>
    </row>
    <row r="363">
      <c r="B363" s="10" t="inlineStr">
        <is>
          <t>Price at exit / price today</t>
        </is>
      </c>
      <c r="C363" s="7" t="inlineStr">
        <is>
          <t>x</t>
        </is>
      </c>
      <c r="D363" s="96">
        <f>D362/'Drivers'!$D$7</f>
        <v/>
      </c>
    </row>
    <row r="364">
      <c r="B364" s="6" t="inlineStr">
        <is>
          <t>IRR to the end of 2028</t>
        </is>
      </c>
      <c r="C364" s="7" t="inlineStr">
        <is>
          <t>%</t>
        </is>
      </c>
      <c r="D364" s="97">
        <f>D363^(1/D360)-1</f>
        <v/>
      </c>
    </row>
    <row r="365">
      <c r="B365" s="6" t="inlineStr">
        <is>
          <t>Entry price for the hurdle IRR to exit 1</t>
        </is>
      </c>
      <c r="C365" s="7" t="inlineStr">
        <is>
          <t>$</t>
        </is>
      </c>
      <c r="D365" s="94">
        <f>D362/(1+'Drivers'!$D$36)^D360</f>
        <v/>
      </c>
    </row>
    <row r="366">
      <c r="B366" s="10" t="inlineStr">
        <is>
          <t>Years to exit 2 (end of 2029)</t>
        </is>
      </c>
      <c r="C366" s="7" t="inlineStr">
        <is>
          <t>yrs</t>
        </is>
      </c>
      <c r="D366" s="95">
        <f>('Drivers'!$D$12-'Drivers'!$D$8)/365</f>
        <v/>
      </c>
    </row>
    <row r="367">
      <c r="B367" s="10" t="inlineStr">
        <is>
          <t>FY30E EPS</t>
        </is>
      </c>
      <c r="C367" s="7" t="inlineStr">
        <is>
          <t>$</t>
        </is>
      </c>
      <c r="D367" s="100">
        <f>M304</f>
        <v/>
      </c>
    </row>
    <row r="368">
      <c r="B368" s="6" t="inlineStr">
        <is>
          <t>Price at the end of 2029</t>
        </is>
      </c>
      <c r="C368" s="7" t="inlineStr">
        <is>
          <t>$</t>
        </is>
      </c>
      <c r="D368" s="94">
        <f>D359*D367</f>
        <v/>
      </c>
    </row>
    <row r="369">
      <c r="B369" s="6" t="inlineStr">
        <is>
          <t>IRR to the end of 2029</t>
        </is>
      </c>
      <c r="C369" s="7" t="inlineStr">
        <is>
          <t>%</t>
        </is>
      </c>
      <c r="D369" s="97">
        <f>(D368/'Drivers'!$D$7)^(1/D366)-1</f>
        <v/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B39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50" customWidth="1" min="2" max="2"/>
  </cols>
  <sheetData>
    <row r="1">
      <c r="B1" s="1" t="inlineStr">
        <is>
          <t>Netflix, Inc.  |  Sources, judgments, open items</t>
        </is>
      </c>
    </row>
    <row r="2">
      <c r="B2" s="2" t="inlineStr">
        <is>
          <t>Full register: outputs/research/nflx_model_assumptions.md</t>
        </is>
      </c>
    </row>
    <row r="3">
      <c r="B3" s="3" t="inlineStr">
        <is>
          <t>Blue = input    Black = formula    Green = cross-sheet link    $ in millions except per share; shares in millions (post-split)</t>
        </is>
      </c>
    </row>
    <row r="6">
      <c r="B6" s="4" t="inlineStr">
        <is>
          <t>SOURCES</t>
        </is>
      </c>
    </row>
    <row r="7">
      <c r="B7" s="109" t="inlineStr">
        <is>
          <t>FY2025 10-K (filed 2026-01-23): https://www.sec.gov/Archives/edgar/data/1065280/000106528026000034/nflx-20251231.htm</t>
        </is>
      </c>
    </row>
    <row r="8">
      <c r="B8" s="109" t="inlineStr">
        <is>
          <t>Q3 2026 10-Q (filed 2026-10-21): https://www.sec.gov/Archives/edgar/data/1065280/000106528026000291/nflx-20260930.htm</t>
        </is>
      </c>
    </row>
    <row r="9">
      <c r="B9" s="109" t="inlineStr">
        <is>
          <t>Q3 2026 shareholder letter (8-K Ex. 99.1, 2026-10-20): https://www.sec.gov/Archives/edgar/data/0001065280/000106528026000290/ex991_q326.htm</t>
        </is>
      </c>
    </row>
    <row r="10">
      <c r="B10" s="109" t="inlineStr">
        <is>
          <t>Q2 2026 letter (2026-07-16), Q1 2026 letter (2026-04-16), Q4 2025 letter (2026-01-20), Q2 2026 10-Q (regional revenue), 8-K Ex. 99.1 on EDGAR.</t>
        </is>
      </c>
    </row>
    <row r="11">
      <c r="B11" s="109" t="inlineStr">
        <is>
          <t>SEC XBRL company facts, CIK 1065280 (annual and quarterly lines, content obligations, repurchase authorization): https://data.sec.gov/api/xbrl/companyfacts/CIK0001065280.json</t>
        </is>
      </c>
    </row>
    <row r="12">
      <c r="B12" s="109" t="inlineStr">
        <is>
          <t>Price: Nasdaq close 2026-10-23 $66.29. UST 10Y 4.99% (2026-10-23). Street: Yahoo Finance consensus and price targets 2026-10-23.</t>
        </is>
      </c>
    </row>
    <row r="13">
      <c r="B13" s="109" t="inlineStr">
        <is>
          <t>Earnings Desk fundamentals for NFLX (SEC facts, closes, Nasdaq consensus; data/earnings_market/fund_NFLX.json) for the 10-year P/E band.</t>
        </is>
      </c>
    </row>
    <row r="15">
      <c r="B15" s="4" t="inlineStr">
        <is>
          <t>CONTEXT  (FACTS)</t>
        </is>
      </c>
    </row>
    <row r="16">
      <c r="B16" s="109" t="inlineStr">
        <is>
          <t>Netflix 7.7% of US TV time in August 2026 vs 8.7% a year earlier; YouTube a record 15.8% (Nielsen Gauge, released 2026-10-22).</t>
        </is>
      </c>
    </row>
    <row r="17">
      <c r="B17" s="109" t="inlineStr">
        <is>
          <t>97B+ hours in 1H26, +2% y/y (1H25 95.2B); 2H25 96B, +2%; What We Watched moves to annual from 2027. over 325mm paid memberships at end-2025, last disclosed; audience 'approaching one billion people'.</t>
        </is>
      </c>
    </row>
    <row r="18">
      <c r="B18" s="109" t="inlineStr">
        <is>
          <t>WBD terminated the Netflix agreement 2026-02-27 for Paramount Skydance ($31 cash); Paramount paid Netflix the $2.8B fee; the Paramount-WBD deal closed 2026-10-06 and HBO Max will fold into Paramount+ (about 200mm combined subscribers).</t>
        </is>
      </c>
    </row>
    <row r="19">
      <c r="B19" s="109" t="inlineStr">
        <is>
          <t>about 1,000 jobs (~6% of ~16,000) announced October 2026; chief content officer Bela Bajaria out, film head Dan Lin out, Peter Rice (ex-Disney) chief content officer from 2026-10-26.</t>
        </is>
      </c>
    </row>
    <row r="20">
      <c r="B20" s="109" t="inlineStr">
        <is>
          <t>FY26 revenue $51.1B (+13%, +12% F/X neutral), operating margin 31.5% incl. ~30 bp of headcount-reduction cost, FCF ~$12.0B (was $12.5B; Q4 real-estate purchase), ads ~$2.7B (was ~$3B), content amortization +~10%, cash content spend ~1.1x amortization.</t>
        </is>
      </c>
    </row>
    <row r="22">
      <c r="B22" s="4" t="inlineStr">
        <is>
          <t>JUDGMENTS THAT CARRY THE VALUE  (LABELLED ANALYSIS, NOT FACT)</t>
        </is>
      </c>
    </row>
    <row r="23">
      <c r="B23" s="109" t="inlineStr">
        <is>
          <t>1. Growth path. 2026 is pinned to the Q4 guide in every case ($51.1B). Base: UCAN +9% in 2027 fading to +4% by 2035, the other regions two to five points faster; total revenue +10.4% in 2027, +9.5% in 2028, mid-single digits by 2033. Bear: UCAN slows to +6% / +4.5% as price rises stop clearing and share of TV time keeps slipping. Bull: ads, live and the 2027 ad-tier expansion keep total growth near 13% through 2028.</t>
        </is>
      </c>
    </row>
    <row r="24">
      <c r="B24" s="109" t="inlineStr">
        <is>
          <t>2. Advertising. Base reaches $3.9B in 2027 and $6.3B in 2029 against a 2026 guide of ~$2.7B that was cut from ~$3.0B. It is a memo line: the model's revenue is the regional lines, so ads only matter through the growth vectors.</t>
        </is>
      </c>
    </row>
    <row r="25">
      <c r="B25" s="109" t="inlineStr">
        <is>
          <t>3. Margin path. Operating margin 31.5% in 2026 (guide). Base: content amortization grows 150-250 bp slower than revenue, other cost of revenue drifts from 14.2% to 13.5%, operating expenses from 19.0% to 16.0% of revenue: 33% in 2027, 35% by 2029, 37% by 2031. Bear stalls at 29-30% (content inflation keeps pace). Bull reaches 40% by 2031.</t>
        </is>
      </c>
    </row>
    <row r="26">
      <c r="B26" s="109" t="inlineStr">
        <is>
          <t>4. Cash. Cash content spend 1.10x amortization in 2026-27 easing to 1.05x; other operating items -1.5% of revenue; stock comp ~1% of revenue is added back in FCF (Netflix's definition) but stays as a cost in the income statement; two months of revenue held as cash, the rest repurchased; gross debt flat at $15.3B with maturities refinanced.</t>
        </is>
      </c>
    </row>
    <row r="27">
      <c r="B27" s="109" t="inlineStr">
        <is>
          <t>5. Share count. Buybacks execute at $82 in 2026 (9M actual $85) and at today's price compounding 8% a year after; 0.4% creep from equity comp. Base retires about 3.5% of the shares a year through 2030.</t>
        </is>
      </c>
    </row>
    <row r="28">
      <c r="B28" s="109" t="inlineStr">
        <is>
          <t>6. Discount rate. WACC ~10.9% from a 4.99% ten-year, beta 1.25 (between the 2-year ~1.1 and the 5-year 1.61) and a 5.0% equity premium. The sensitivity grid steps WACC by 75 bp.</t>
        </is>
      </c>
    </row>
    <row r="29">
      <c r="B29" s="109" t="inlineStr">
        <is>
          <t>7. Exit multiple. 14x / 18x / 22x NTM earnings. The stock trades at 17.6x FY27E Street EPS today after a 43% drawdown; the 10-year median trailing P/E on the Earnings Desk is far higher, earned when growth was twice today's.</t>
        </is>
      </c>
    </row>
    <row r="30">
      <c r="B30" s="109" t="inlineStr">
        <is>
          <t>8. One-offs. The $2.8B WBD fee sits in 2026 other income and in 2026 FCF (as guided). EPS ex one-offs strips it; the price path uses EPS ex one-offs.</t>
        </is>
      </c>
    </row>
    <row r="32">
      <c r="B32" s="4" t="inlineStr">
        <is>
          <t>OPEN ITEMS</t>
        </is>
      </c>
    </row>
    <row r="33">
      <c r="B33" s="109" t="inlineStr">
        <is>
          <t>Q4 2026 print, about 2027-01-20: the FY27 guide (revenue, margin, ads, content spend), the headcount-reduction charge, Q4 live slate (NFL Thanksgiving Eve, Christmas, Fury-Joshua).</t>
        </is>
      </c>
    </row>
    <row r="34">
      <c r="B34" s="109" t="inlineStr">
        <is>
          <t>Ad tier launch in 15 new countries in 2027 (first tranche March 2027): the 2027 ads vector assumes it lands.</t>
        </is>
      </c>
    </row>
    <row r="35">
      <c r="B35" s="109" t="inlineStr">
        <is>
          <t>Paramount Skydance's combined HBO Max / Paramount+ pricing and launch date; Nielsen September figures (new methodology).</t>
        </is>
      </c>
    </row>
    <row r="36">
      <c r="B36" s="109" t="inlineStr">
        <is>
          <t>Peter Rice's slate decisions as chief content officer; any change to the 1.1x cash-to-amortization guide for 2027.</t>
        </is>
      </c>
    </row>
    <row r="38">
      <c r="B38" s="4" t="inlineStr">
        <is>
          <t>CHANGE LOG</t>
        </is>
      </c>
    </row>
    <row r="39">
      <c r="B39" s="109" t="inlineStr">
        <is>
          <t>2026-10-23  First build. Not wired into theses.yaml, the Holdings tab or filing_review; a watch model. Projections also feed the Earnings Desk NFLX profile.</t>
        </is>
      </c>
    </row>
  </sheetData>
  <printOptions horizontalCentered="1"/>
  <pageMargins left="0.75" right="0.75" top="1" bottom="1" header="0.5" footer="0.5"/>
  <pageSetup orientation="landscape" fitToHeight="0" fitToWidth="1"/>
  <headerFooter>
    <oddHeader/>
    <oddFooter>&amp;L&amp;F&amp;CPage &amp;P of &amp;N&amp;R&amp;D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2026-10-23T17:46:01Z</dcterms:created>
  <dcterms:modified xmlns:dcterms="http://purl.org/dc/terms/" xmlns:xsi="http://www.w3.org/2001/XMLSchema-instance" xsi:type="dcterms:W3CDTF">2026-10-23T17:46:01Z</dcterms:modified>
</cp:coreProperties>
</file>